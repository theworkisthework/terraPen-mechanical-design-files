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sheetId="1" state="visible" r:id="rId1"/>
    <sheet xmlns:r="http://schemas.openxmlformats.org/officeDocument/2006/relationships" name="Audit" sheetId="2" state="visible" r:id="rId2"/>
  </sheets>
  <definedNames>
    <definedName name="_xlnm.Print_Titles" localSheetId="0">'BOM'!$5:$5</definedName>
  </definedNames>
  <calcPr calcId="124519" fullCalcOnLoad="1"/>
</workbook>
</file>

<file path=xl/styles.xml><?xml version="1.0" encoding="utf-8"?>
<styleSheet xmlns="http://schemas.openxmlformats.org/spreadsheetml/2006/main">
  <numFmts count="1">
    <numFmt numFmtId="164" formatCode="£#,##0.00"/>
  </numFmts>
  <fonts count="22">
    <font>
      <name val="Calibri"/>
      <family val="2"/>
      <color theme="1"/>
      <sz val="11"/>
      <scheme val="minor"/>
    </font>
    <font>
      <name val="Arial"/>
      <b val="1"/>
      <color rgb="001F2937"/>
      <sz val="16"/>
    </font>
    <font>
      <name val="Arial"/>
      <i val="1"/>
      <color rgb="004B5563"/>
      <sz val="9"/>
    </font>
    <font>
      <name val="Arial"/>
      <b val="1"/>
      <color rgb="00111827"/>
      <sz val="9"/>
    </font>
    <font>
      <name val="Arial"/>
      <color rgb="00111827"/>
      <sz val="9"/>
    </font>
    <font>
      <name val="Arial"/>
      <b val="1"/>
      <color rgb="00FFFFFF"/>
      <sz val="10"/>
    </font>
    <font>
      <name val="Arial"/>
      <b val="1"/>
      <color rgb="001F2937"/>
      <sz val="10"/>
    </font>
    <font>
      <name val="Arial"/>
      <color rgb="000B5FFF"/>
      <sz val="10"/>
      <u val="single"/>
    </font>
    <font>
      <name val="Arial"/>
      <color rgb="00111827"/>
      <sz val="10"/>
    </font>
    <font>
      <name val="Arial"/>
      <b val="1"/>
      <color rgb="00111827"/>
      <sz val="10"/>
    </font>
    <font>
      <name val="Arial"/>
      <b val="1"/>
      <color rgb="001F2937"/>
      <sz val="12"/>
    </font>
    <font>
      <name val="Arial"/>
      <sz val="9"/>
    </font>
    <font>
      <name val="Arial"/>
      <sz val="10"/>
    </font>
    <font>
      <name val="Arial"/>
      <color rgb="004B5563"/>
      <sz val="9"/>
    </font>
    <font>
      <name val="Arial"/>
      <strike val="1"/>
      <color rgb="009CA3AF"/>
      <sz val="10"/>
    </font>
    <font>
      <name val="Arial"/>
      <strike val="0"/>
      <color rgb="00111827"/>
      <sz val="10"/>
    </font>
    <font>
      <name val="Arial"/>
      <b val="1"/>
      <strike val="0"/>
      <color rgb="001F2937"/>
      <sz val="10"/>
    </font>
    <font>
      <name val="Arial"/>
      <strike val="0"/>
      <color rgb="000B5FFF"/>
      <sz val="10"/>
      <u val="single"/>
    </font>
    <font>
      <name val="Arial"/>
      <b val="1"/>
      <strike val="0"/>
      <color rgb="00111827"/>
      <sz val="9"/>
    </font>
    <font>
      <name val="Arial"/>
      <b val="1"/>
      <strike val="0"/>
      <color rgb="00111827"/>
      <sz val="10"/>
    </font>
    <font>
      <name val="Arial"/>
      <strike val="0"/>
      <color rgb="004B5563"/>
      <sz val="9"/>
    </font>
    <font>
      <name val="Arial"/>
      <b val="1"/>
      <sz val="10"/>
    </font>
  </fonts>
  <fills count="9">
    <fill>
      <patternFill/>
    </fill>
    <fill>
      <patternFill patternType="gray125"/>
    </fill>
    <fill>
      <patternFill patternType="solid">
        <fgColor rgb="00E7F5EC"/>
      </patternFill>
    </fill>
    <fill>
      <patternFill patternType="solid">
        <fgColor rgb="00FFF4D6"/>
      </patternFill>
    </fill>
    <fill>
      <patternFill patternType="solid">
        <fgColor rgb="00FDE2E2"/>
      </patternFill>
    </fill>
    <fill>
      <patternFill patternType="solid">
        <fgColor rgb="00FFE8CC"/>
      </patternFill>
    </fill>
    <fill>
      <patternFill patternType="solid">
        <fgColor rgb="00E5E7EB"/>
      </patternFill>
    </fill>
    <fill>
      <patternFill patternType="solid">
        <fgColor rgb="001F2937"/>
      </patternFill>
    </fill>
    <fill>
      <patternFill patternType="solid">
        <fgColor rgb="00D1D5DB"/>
      </patternFill>
    </fill>
  </fills>
  <borders count="2">
    <border>
      <left/>
      <right/>
      <top/>
      <bottom/>
      <diagonal/>
    </border>
    <border>
      <bottom style="thin">
        <color rgb="00D1D5DB"/>
      </bottom>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horizontal="center"/>
    </xf>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5" fillId="7" borderId="0" applyAlignment="1" pivotButton="0" quotePrefix="0" xfId="0">
      <alignment horizontal="center" vertical="center" wrapText="1"/>
    </xf>
    <xf numFmtId="0" fontId="5" fillId="7" borderId="0" applyAlignment="1" pivotButton="0" quotePrefix="0" xfId="0">
      <alignment horizontal="left" vertical="center" wrapText="1"/>
    </xf>
    <xf numFmtId="0" fontId="6" fillId="8" borderId="0" pivotButton="0" quotePrefix="0" xfId="0"/>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7" fillId="0" borderId="1" applyAlignment="1" pivotButton="0" quotePrefix="0" xfId="0">
      <alignment horizontal="center" vertical="top" wrapText="1"/>
    </xf>
    <xf numFmtId="164" fontId="8" fillId="0" borderId="1" applyAlignment="1" pivotButton="0" quotePrefix="0" xfId="0">
      <alignment horizontal="center" vertical="top" wrapText="1"/>
    </xf>
    <xf numFmtId="0" fontId="3" fillId="2" borderId="1" applyAlignment="1" pivotButton="0" quotePrefix="0" xfId="0">
      <alignment horizontal="center" vertical="top" wrapText="1"/>
    </xf>
    <xf numFmtId="0" fontId="9"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0" fontId="3" fillId="6" borderId="1" applyAlignment="1" pivotButton="0" quotePrefix="0" xfId="0">
      <alignment horizontal="center" vertical="top" wrapText="1"/>
    </xf>
    <xf numFmtId="0" fontId="9" fillId="0" borderId="0" pivotButton="0" quotePrefix="0" xfId="0"/>
    <xf numFmtId="164" fontId="9" fillId="0" borderId="0" pivotButton="0" quotePrefix="0" xfId="0"/>
    <xf numFmtId="0" fontId="2" fillId="0" borderId="0" pivotButton="0" quotePrefix="0" xfId="0"/>
    <xf numFmtId="0" fontId="5" fillId="7" borderId="0" applyAlignment="1" pivotButton="0" quotePrefix="0" xfId="0">
      <alignment vertical="center" wrapText="1"/>
    </xf>
    <xf numFmtId="0" fontId="8"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vertical="top" wrapText="1"/>
    </xf>
    <xf numFmtId="0" fontId="10" fillId="0" borderId="0" pivotButton="0" quotePrefix="0" xfId="0"/>
    <xf numFmtId="0" fontId="8" fillId="0" borderId="0" pivotButton="0" quotePrefix="0" xfId="0"/>
    <xf numFmtId="0" fontId="5" fillId="7" borderId="0" pivotButton="0" quotePrefix="0" xfId="0"/>
    <xf numFmtId="0" fontId="11" fillId="2" borderId="0" applyAlignment="1" pivotButton="0" quotePrefix="0" xfId="0">
      <alignment horizontal="left"/>
    </xf>
    <xf numFmtId="0" fontId="11" fillId="3" borderId="0" applyAlignment="1" pivotButton="0" quotePrefix="0" xfId="0">
      <alignment horizontal="left"/>
    </xf>
    <xf numFmtId="0" fontId="4" fillId="0" borderId="0" applyAlignment="1" pivotButton="0" quotePrefix="0" xfId="0">
      <alignment horizontal="center"/>
    </xf>
    <xf numFmtId="0" fontId="11" fillId="4" borderId="0" applyAlignment="1" pivotButton="0" quotePrefix="0" xfId="0">
      <alignment horizontal="left"/>
    </xf>
    <xf numFmtId="0" fontId="11" fillId="5" borderId="0" applyAlignment="1" pivotButton="0" quotePrefix="0" xfId="0">
      <alignment horizontal="left"/>
    </xf>
    <xf numFmtId="0" fontId="11" fillId="6" borderId="0" applyAlignment="1" pivotButton="0" quotePrefix="0" xfId="0">
      <alignment horizontal="left"/>
    </xf>
    <xf numFmtId="0" fontId="12" fillId="0" borderId="1" applyAlignment="1" pivotButton="0" quotePrefix="0" xfId="0">
      <alignment horizontal="center" vertical="top" wrapText="1"/>
    </xf>
    <xf numFmtId="0" fontId="13" fillId="0" borderId="0" pivotButton="0" quotePrefix="0" xfId="0"/>
    <xf numFmtId="0" fontId="11" fillId="6" borderId="0" pivotButton="0" quotePrefix="0" xfId="0"/>
    <xf numFmtId="0" fontId="15" fillId="0" borderId="1" applyAlignment="1" pivotButton="0" quotePrefix="0" xfId="0">
      <alignment horizontal="center" vertical="top" wrapText="1"/>
    </xf>
    <xf numFmtId="0" fontId="14" fillId="0" borderId="1" applyAlignment="1" pivotButton="0" quotePrefix="0" xfId="0">
      <alignment horizontal="left" vertical="top" wrapText="1"/>
    </xf>
    <xf numFmtId="0" fontId="14" fillId="0" borderId="1" applyAlignment="1" pivotButton="0" quotePrefix="0" xfId="0">
      <alignment horizontal="center" vertical="top" wrapText="1"/>
    </xf>
    <xf numFmtId="0" fontId="16" fillId="8" borderId="0" pivotButton="0" quotePrefix="0" xfId="0"/>
    <xf numFmtId="0" fontId="15" fillId="0" borderId="1" applyAlignment="1" pivotButton="0" quotePrefix="0" xfId="0">
      <alignment horizontal="left" vertical="top" wrapText="1"/>
    </xf>
    <xf numFmtId="0" fontId="19" fillId="0" borderId="1" applyAlignment="1" pivotButton="0" quotePrefix="0" xfId="0">
      <alignment horizontal="center" vertical="top" wrapText="1"/>
    </xf>
    <xf numFmtId="0" fontId="17" fillId="0" borderId="1" applyAlignment="1" pivotButton="0" quotePrefix="0" xfId="0">
      <alignment horizontal="center" vertical="top" wrapText="1"/>
    </xf>
    <xf numFmtId="164" fontId="15" fillId="0" borderId="1" applyAlignment="1" pivotButton="0" quotePrefix="0" xfId="0">
      <alignment horizontal="center" vertical="top" wrapText="1"/>
    </xf>
    <xf numFmtId="0" fontId="18" fillId="5" borderId="1" applyAlignment="1" pivotButton="0" quotePrefix="0" xfId="0">
      <alignment horizontal="center" vertical="top" wrapText="1"/>
    </xf>
    <xf numFmtId="0" fontId="18" fillId="2" borderId="1" applyAlignment="1" pivotButton="0" quotePrefix="0" xfId="0">
      <alignment horizontal="center" vertical="top" wrapText="1"/>
    </xf>
    <xf numFmtId="0" fontId="18" fillId="6" borderId="1" applyAlignment="1" pivotButton="0" quotePrefix="0" xfId="0">
      <alignment horizontal="center" vertical="top" wrapText="1"/>
    </xf>
    <xf numFmtId="0" fontId="18" fillId="4" borderId="1" applyAlignment="1" pivotButton="0" quotePrefix="0" xfId="0">
      <alignment horizontal="center" vertical="top" wrapText="1"/>
    </xf>
    <xf numFmtId="0" fontId="19" fillId="0" borderId="0" pivotButton="0" quotePrefix="0" xfId="0"/>
    <xf numFmtId="164" fontId="19" fillId="0" borderId="0" pivotButton="0" quotePrefix="0" xfId="0"/>
    <xf numFmtId="0" fontId="20" fillId="0" borderId="0" pivotButton="0" quotePrefix="0" xfId="0"/>
    <xf numFmtId="0" fontId="15" fillId="0" borderId="1" applyAlignment="1" pivotButton="0" quotePrefix="0" xfId="0">
      <alignment vertical="top" wrapText="1"/>
    </xf>
    <xf numFmtId="0" fontId="18" fillId="4" borderId="1" applyAlignment="1" pivotButton="0" quotePrefix="0" xfId="0">
      <alignment vertical="top" wrapText="1"/>
    </xf>
    <xf numFmtId="0" fontId="11" fillId="0" borderId="0" pivotButton="0" quotePrefix="0" xfId="0"/>
    <xf numFmtId="0" fontId="21" fillId="0" borderId="0" applyAlignment="1" pivotButton="0" quotePrefix="0" xfId="0">
      <alignment horizontal="right"/>
    </xf>
    <xf numFmtId="0" fontId="9"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oznest.co.uk/20x20mm-t-v-slot-aluminium-extrusion-profile-black-cut-to-size" TargetMode="External" Id="rId1"/><Relationship Type="http://schemas.openxmlformats.org/officeDocument/2006/relationships/hyperlink" Target="https://www.ebay.co.uk/sch/i.html?_nkw=2020+T+slot+aluminium+extrusion+760mm+cut+to+length" TargetMode="External" Id="rId2"/><Relationship Type="http://schemas.openxmlformats.org/officeDocument/2006/relationships/hyperlink" Target="https://www.amazon.co.uk/s?k=2020+T+slot+aluminium+extrusion+760mm+cut+to+length" TargetMode="External" Id="rId3"/><Relationship Type="http://schemas.openxmlformats.org/officeDocument/2006/relationships/hyperlink" Target="https://www.aliexpress.com/wholesale?SearchText=2020+T+slot+aluminium+extrusion+760mm+cut+to+length" TargetMode="External" Id="rId4"/><Relationship Type="http://schemas.openxmlformats.org/officeDocument/2006/relationships/hyperlink" Target="https://ooznest.co.uk/20x20mm-t-v-slot-aluminium-extrusion-profile-black-cut-to-size" TargetMode="External" Id="rId5"/><Relationship Type="http://schemas.openxmlformats.org/officeDocument/2006/relationships/hyperlink" Target="https://www.ebay.co.uk/sch/i.html?_nkw=2020+T+slot+aluminium+extrusion+560mm+cut+to+length" TargetMode="External" Id="rId6"/><Relationship Type="http://schemas.openxmlformats.org/officeDocument/2006/relationships/hyperlink" Target="https://www.amazon.co.uk/s?k=2020+T+slot+aluminium+extrusion+560mm+cut+to+length" TargetMode="External" Id="rId7"/><Relationship Type="http://schemas.openxmlformats.org/officeDocument/2006/relationships/hyperlink" Target="https://www.aliexpress.com/wholesale?SearchText=2020+T+slot+aluminium+extrusion+560mm+cut+to+length" TargetMode="External" Id="rId8"/><Relationship Type="http://schemas.openxmlformats.org/officeDocument/2006/relationships/hyperlink" Target="https://ooznest.co.uk/20x20mm-t-v-slot-aluminium-extrusion-profile-black-cut-to-size" TargetMode="External" Id="rId9"/><Relationship Type="http://schemas.openxmlformats.org/officeDocument/2006/relationships/hyperlink" Target="https://www.ebay.co.uk/sch/i.html?_nkw=2020+T+slot+aluminium+extrusion+710mm+cut+to+length" TargetMode="External" Id="rId10"/><Relationship Type="http://schemas.openxmlformats.org/officeDocument/2006/relationships/hyperlink" Target="https://www.amazon.co.uk/s?k=2020+T+slot+aluminium+extrusion+710mm+cut+to+length" TargetMode="External" Id="rId11"/><Relationship Type="http://schemas.openxmlformats.org/officeDocument/2006/relationships/hyperlink" Target="https://www.aliexpress.com/wholesale?SearchText=2020+T+slot+aluminium+extrusion+710mm+cut+to+length" TargetMode="External" Id="rId12"/><Relationship Type="http://schemas.openxmlformats.org/officeDocument/2006/relationships/hyperlink" Target="https://ooznest.co.uk/20x20mm-t-v-slot-aluminium-extrusion-profile-black-cut-to-size" TargetMode="External" Id="rId13"/><Relationship Type="http://schemas.openxmlformats.org/officeDocument/2006/relationships/hyperlink" Target="https://www.ebay.co.uk/sch/i.html?_nkw=2020+T+slot+aluminium+extrusion+45mm+cut" TargetMode="External" Id="rId14"/><Relationship Type="http://schemas.openxmlformats.org/officeDocument/2006/relationships/hyperlink" Target="https://www.amazon.co.uk/s?k=2020+T+slot+aluminium+extrusion+45mm+cut" TargetMode="External" Id="rId15"/><Relationship Type="http://schemas.openxmlformats.org/officeDocument/2006/relationships/hyperlink" Target="https://www.aliexpress.com/wholesale?SearchText=2020+T+slot+aluminium+extrusion+45mm+cut" TargetMode="External" Id="rId16"/><Relationship Type="http://schemas.openxmlformats.org/officeDocument/2006/relationships/hyperlink" Target="https://resources.ooznest.co.uk/aluminium-extrusion-system/connectors/cube-corner-brackets/3-way-cube-corner-brackets/3-way-20-series-cube-corner-bracket-var-ccb-20-3" TargetMode="External" Id="rId17"/><Relationship Type="http://schemas.openxmlformats.org/officeDocument/2006/relationships/hyperlink" Target="https://www.ebay.co.uk/sch/i.html?_nkw=2020+3+way+corner+cube+connector+aluminium+profile" TargetMode="External" Id="rId18"/><Relationship Type="http://schemas.openxmlformats.org/officeDocument/2006/relationships/hyperlink" Target="https://www.amazon.co.uk/s?k=2020+3+way+corner+cube+connector+aluminium+profile" TargetMode="External" Id="rId19"/><Relationship Type="http://schemas.openxmlformats.org/officeDocument/2006/relationships/hyperlink" Target="https://www.aliexpress.com/wholesale?SearchText=2020+3+way+corner+cube+connector+aluminium+profile" TargetMode="External" Id="rId20"/><Relationship Type="http://schemas.openxmlformats.org/officeDocument/2006/relationships/hyperlink" Target="https://www.ebay.co.uk/sch/i.html?_nkw=2020+aluminium+profile+90+degree+corner+bracket+L" TargetMode="External" Id="rId21"/><Relationship Type="http://schemas.openxmlformats.org/officeDocument/2006/relationships/hyperlink" Target="https://www.amazon.co.uk/s?k=2020+aluminium+profile+90+degree+corner+bracket+L" TargetMode="External" Id="rId22"/><Relationship Type="http://schemas.openxmlformats.org/officeDocument/2006/relationships/hyperlink" Target="https://www.aliexpress.com/wholesale?SearchText=2020+aluminium+profile+90+degree+corner+bracket+L" TargetMode="External" Id="rId23"/><Relationship Type="http://schemas.openxmlformats.org/officeDocument/2006/relationships/hyperlink" Target="https://www.ebay.co.uk/sch/i.html?_nkw=rubber+feet+20mm+diameter+15mm+high+M5" TargetMode="External" Id="rId24"/><Relationship Type="http://schemas.openxmlformats.org/officeDocument/2006/relationships/hyperlink" Target="https://www.amazon.co.uk/s?k=rubber+feet+20mm+diameter+15mm+high+M5" TargetMode="External" Id="rId25"/><Relationship Type="http://schemas.openxmlformats.org/officeDocument/2006/relationships/hyperlink" Target="https://www.aliexpress.com/wholesale?SearchText=rubber+feet+20mm+diameter+15mm+high+M5" TargetMode="External" Id="rId26"/><Relationship Type="http://schemas.openxmlformats.org/officeDocument/2006/relationships/hyperlink" Target="https://sheetmaterialswholesale.co.uk/12mm-ekopine-structural-pine-plywood-c-c-ce2-2440mm-x-1220mm-8%e2%80%b2-x-4%e2%80%b2" TargetMode="External" Id="rId27"/><Relationship Type="http://schemas.openxmlformats.org/officeDocument/2006/relationships/hyperlink" Target="https://www.ebay.co.uk/sch/i.html?_nkw=12mm+plywood+cut+to+size+800x600" TargetMode="External" Id="rId28"/><Relationship Type="http://schemas.openxmlformats.org/officeDocument/2006/relationships/hyperlink" Target="https://www.amazon.co.uk/s?k=12mm+plywood+cut+to+size+800x600" TargetMode="External" Id="rId29"/><Relationship Type="http://schemas.openxmlformats.org/officeDocument/2006/relationships/hyperlink" Target="https://www.aliexpress.com/wholesale?SearchText=12mm+plywood+cut+to+size+800x600" TargetMode="External" Id="rId30"/><Relationship Type="http://schemas.openxmlformats.org/officeDocument/2006/relationships/hyperlink" Target="https://github.com/theworkisthework/terraPen-mechanical-design-files/blob/main/metal%20bed/tP_Bed_Profile_Revised.dxf" TargetMode="External" Id="rId31"/><Relationship Type="http://schemas.openxmlformats.org/officeDocument/2006/relationships/hyperlink" Target="https://www.ebay.co.uk/sch/i.html?_nkw=MGN9H+linear+rail+540mm+with+carriage" TargetMode="External" Id="rId32"/><Relationship Type="http://schemas.openxmlformats.org/officeDocument/2006/relationships/hyperlink" Target="https://www.amazon.co.uk/s?k=MGN9H+linear+rail+540mm+with+carriage" TargetMode="External" Id="rId33"/><Relationship Type="http://schemas.openxmlformats.org/officeDocument/2006/relationships/hyperlink" Target="https://www.aliexpress.com/wholesale?SearchText=MGN9H+linear+rail+540mm+with+carriage" TargetMode="External" Id="rId34"/><Relationship Type="http://schemas.openxmlformats.org/officeDocument/2006/relationships/hyperlink" Target="https://www.ebay.co.uk/sch/i.html?_nkw=MGN9H+linear+rail+710mm+with+carriage" TargetMode="External" Id="rId35"/><Relationship Type="http://schemas.openxmlformats.org/officeDocument/2006/relationships/hyperlink" Target="https://www.amazon.co.uk/s?k=MGN9H+linear+rail+710mm+with+carriage" TargetMode="External" Id="rId36"/><Relationship Type="http://schemas.openxmlformats.org/officeDocument/2006/relationships/hyperlink" Target="https://www.aliexpress.com/wholesale?SearchText=MGN9H+linear+rail+710mm+with+carriage" TargetMode="External" Id="rId37"/><Relationship Type="http://schemas.openxmlformats.org/officeDocument/2006/relationships/hyperlink" Target="https://www.ebay.co.uk/sch/i.html?_nkw=MGN7H+50mm+linear+rail+with+carriage+block" TargetMode="External" Id="rId38"/><Relationship Type="http://schemas.openxmlformats.org/officeDocument/2006/relationships/hyperlink" Target="https://www.amazon.co.uk/s?k=MGN7H+50mm+linear+rail+with+carriage+block" TargetMode="External" Id="rId39"/><Relationship Type="http://schemas.openxmlformats.org/officeDocument/2006/relationships/hyperlink" Target="https://www.aliexpress.com/wholesale?SearchText=MGN7H+50mm+linear+rail+with+carriage+block" TargetMode="External" Id="rId40"/><Relationship Type="http://schemas.openxmlformats.org/officeDocument/2006/relationships/hyperlink" Target="https://www.ebay.co.uk/sch/i.html?_nkw=GT2+timing+belt+6mm+open+3m" TargetMode="External" Id="rId41"/><Relationship Type="http://schemas.openxmlformats.org/officeDocument/2006/relationships/hyperlink" Target="https://www.amazon.co.uk/s?k=GT2+timing+belt+6mm+open+3m" TargetMode="External" Id="rId42"/><Relationship Type="http://schemas.openxmlformats.org/officeDocument/2006/relationships/hyperlink" Target="https://www.aliexpress.com/wholesale?SearchText=GT2+timing+belt+6mm+open+3m" TargetMode="External" Id="rId43"/><Relationship Type="http://schemas.openxmlformats.org/officeDocument/2006/relationships/hyperlink" Target="https://www.ebay.co.uk/sch/i.html?_nkw=GT2+20+tooth+pulley+5mm+bore+6mm+belt" TargetMode="External" Id="rId44"/><Relationship Type="http://schemas.openxmlformats.org/officeDocument/2006/relationships/hyperlink" Target="https://www.amazon.co.uk/s?k=GT2+20+tooth+pulley+5mm+bore+6mm+belt" TargetMode="External" Id="rId45"/><Relationship Type="http://schemas.openxmlformats.org/officeDocument/2006/relationships/hyperlink" Target="https://www.aliexpress.com/wholesale?SearchText=GT2+20+tooth+pulley+5mm+bore+6mm+belt" TargetMode="External" Id="rId46"/><Relationship Type="http://schemas.openxmlformats.org/officeDocument/2006/relationships/hyperlink" Target="https://www.ebay.co.uk/sch/i.html?_nkw=GT2+20T+smooth+idler+pulley+5mm+bore+6mm+belt" TargetMode="External" Id="rId47"/><Relationship Type="http://schemas.openxmlformats.org/officeDocument/2006/relationships/hyperlink" Target="https://www.amazon.co.uk/s?k=GT2+20T+smooth+idler+pulley+5mm+bore+6mm+belt" TargetMode="External" Id="rId48"/><Relationship Type="http://schemas.openxmlformats.org/officeDocument/2006/relationships/hyperlink" Target="https://www.aliexpress.com/wholesale?SearchText=GT2+20T+smooth+idler+pulley+5mm+bore+6mm+belt" TargetMode="External" Id="rId49"/><Relationship Type="http://schemas.openxmlformats.org/officeDocument/2006/relationships/hyperlink" Target="https://www.ebay.co.uk/sch/i.html?_nkw=GT2+20T+toothed+idler+pulley+5mm+bore+6mm+belt+with+bearing" TargetMode="External" Id="rId50"/><Relationship Type="http://schemas.openxmlformats.org/officeDocument/2006/relationships/hyperlink" Target="https://www.amazon.co.uk/s?k=GT2+20T+toothed+idler+pulley+5mm+bore+6mm+belt+with+bearing" TargetMode="External" Id="rId51"/><Relationship Type="http://schemas.openxmlformats.org/officeDocument/2006/relationships/hyperlink" Target="https://www.aliexpress.com/wholesale?SearchText=GT2+20T+toothed+idler+pulley+5mm+bore+6mm+belt+with+bearing" TargetMode="External" Id="rId52"/><Relationship Type="http://schemas.openxmlformats.org/officeDocument/2006/relationships/hyperlink" Target="https://www.pololu.com/product/2267" TargetMode="External" Id="rId53"/><Relationship Type="http://schemas.openxmlformats.org/officeDocument/2006/relationships/hyperlink" Target="https://www.ebay.co.uk/sch/i.html?_nkw=NEMA+17+stepper+1.7A+42x42x38+bipolar" TargetMode="External" Id="rId54"/><Relationship Type="http://schemas.openxmlformats.org/officeDocument/2006/relationships/hyperlink" Target="https://www.amazon.co.uk/s?k=NEMA+17+stepper+1.7A+42x42x38+bipolar" TargetMode="External" Id="rId55"/><Relationship Type="http://schemas.openxmlformats.org/officeDocument/2006/relationships/hyperlink" Target="https://www.aliexpress.com/wholesale?SearchText=NEMA+17+stepper+1.7A+42x42x38+bipolar" TargetMode="External" Id="rId56"/><Relationship Type="http://schemas.openxmlformats.org/officeDocument/2006/relationships/hyperlink" Target="https://terrapen.xyz/products/emerald-dingo-esp32-plotter-controller?variant=64807034749305" TargetMode="External" Id="rId57"/><Relationship Type="http://schemas.openxmlformats.org/officeDocument/2006/relationships/hyperlink" Target="https://terrapen.xyz/products/emerald-dingo-esp32-plotter-controller?variant=64807034749305" TargetMode="External" Id="rId58"/><Relationship Type="http://schemas.openxmlformats.org/officeDocument/2006/relationships/hyperlink" Target="https://www.ebay.co.uk/sch/i.html?_nkw=microSD+card+8GB+SanDisk" TargetMode="External" Id="rId59"/><Relationship Type="http://schemas.openxmlformats.org/officeDocument/2006/relationships/hyperlink" Target="https://www.amazon.co.uk/s?k=microSD+card+8GB+SanDisk" TargetMode="External" Id="rId60"/><Relationship Type="http://schemas.openxmlformats.org/officeDocument/2006/relationships/hyperlink" Target="https://www.aliexpress.com/wholesale?SearchText=microSD+card+8GB+SanDisk" TargetMode="External" Id="rId61"/><Relationship Type="http://schemas.openxmlformats.org/officeDocument/2006/relationships/hyperlink" Target="https://www.ebay.co.uk/sch/i.html?_nkw=12V+2A+power+supply+5.5x2.1mm+UK+plug" TargetMode="External" Id="rId62"/><Relationship Type="http://schemas.openxmlformats.org/officeDocument/2006/relationships/hyperlink" Target="https://www.amazon.co.uk/s?k=12V+2A+power+supply+5.5x2.1mm+UK+plug" TargetMode="External" Id="rId63"/><Relationship Type="http://schemas.openxmlformats.org/officeDocument/2006/relationships/hyperlink" Target="https://www.aliexpress.com/wholesale?SearchText=12V+2A+power+supply+5.5x2.1mm+UK+plug" TargetMode="External" Id="rId64"/><Relationship Type="http://schemas.openxmlformats.org/officeDocument/2006/relationships/hyperlink" Target="https://www.ebay.co.uk/sch/i.html?_nkw=JST+PH+2.0+4+pin+cable+750mm" TargetMode="External" Id="rId65"/><Relationship Type="http://schemas.openxmlformats.org/officeDocument/2006/relationships/hyperlink" Target="https://www.amazon.co.uk/s?k=JST+PH+2.0+4+pin+cable+750mm" TargetMode="External" Id="rId66"/><Relationship Type="http://schemas.openxmlformats.org/officeDocument/2006/relationships/hyperlink" Target="https://www.aliexpress.com/wholesale?SearchText=JST+PH+2.0+4+pin+cable+750mm" TargetMode="External" Id="rId67"/><Relationship Type="http://schemas.openxmlformats.org/officeDocument/2006/relationships/hyperlink" Target="https://www.ebay.co.uk/sch/i.html?_nkw=JST+PH+2.0+4+pin+cable+500mm" TargetMode="External" Id="rId68"/><Relationship Type="http://schemas.openxmlformats.org/officeDocument/2006/relationships/hyperlink" Target="https://www.amazon.co.uk/s?k=JST+PH+2.0+4+pin+cable+500mm" TargetMode="External" Id="rId69"/><Relationship Type="http://schemas.openxmlformats.org/officeDocument/2006/relationships/hyperlink" Target="https://www.aliexpress.com/wholesale?SearchText=JST+PH+2.0+4+pin+cable+500mm" TargetMode="External" Id="rId70"/><Relationship Type="http://schemas.openxmlformats.org/officeDocument/2006/relationships/hyperlink" Target="https://www.rapidonline.com/alpha-wire-3049-bk001-26-awg-pvc-black-hook-up-wire-1kft-01-5540" TargetMode="External" Id="rId71"/><Relationship Type="http://schemas.openxmlformats.org/officeDocument/2006/relationships/hyperlink" Target="https://www.ebay.co.uk/sch/i.html?_nkw=4+core+26+AWG+PVC+cable+per+metre" TargetMode="External" Id="rId72"/><Relationship Type="http://schemas.openxmlformats.org/officeDocument/2006/relationships/hyperlink" Target="https://www.amazon.co.uk/s?k=4+core+26+AWG+PVC+cable+per+metre" TargetMode="External" Id="rId73"/><Relationship Type="http://schemas.openxmlformats.org/officeDocument/2006/relationships/hyperlink" Target="https://www.aliexpress.com/wholesale?SearchText=4+core+26+AWG+PVC+cable+per+metre" TargetMode="External" Id="rId74"/><Relationship Type="http://schemas.openxmlformats.org/officeDocument/2006/relationships/hyperlink" Target="https://www.ebay.co.uk/sch/i.html?_nkw=3+core+26+AWG+PVC+cable+per+metre" TargetMode="External" Id="rId75"/><Relationship Type="http://schemas.openxmlformats.org/officeDocument/2006/relationships/hyperlink" Target="https://www.amazon.co.uk/s?k=3+core+26+AWG+PVC+cable+per+metre" TargetMode="External" Id="rId76"/><Relationship Type="http://schemas.openxmlformats.org/officeDocument/2006/relationships/hyperlink" Target="https://www.aliexpress.com/wholesale?SearchText=3+core+26+AWG+PVC+cable+per+metre" TargetMode="External" Id="rId77"/><Relationship Type="http://schemas.openxmlformats.org/officeDocument/2006/relationships/hyperlink" Target="https://www.ebay.co.uk/sch/i.html?_nkw=JST+PH+2.0+connector+housing+crimp+kit" TargetMode="External" Id="rId78"/><Relationship Type="http://schemas.openxmlformats.org/officeDocument/2006/relationships/hyperlink" Target="https://www.amazon.co.uk/s?k=JST+PH+2.0+connector+housing+crimp+kit" TargetMode="External" Id="rId79"/><Relationship Type="http://schemas.openxmlformats.org/officeDocument/2006/relationships/hyperlink" Target="https://www.aliexpress.com/wholesale?SearchText=JST+PH+2.0+connector+housing+crimp+kit" TargetMode="External" Id="rId80"/><Relationship Type="http://schemas.openxmlformats.org/officeDocument/2006/relationships/hyperlink" Target="https://ooznest.co.uk/product/optical-endstop/" TargetMode="External" Id="rId81"/><Relationship Type="http://schemas.openxmlformats.org/officeDocument/2006/relationships/hyperlink" Target="https://www.ebay.co.uk/sch/i.html?_nkw=optical+endstop+switch+module+3D+printer" TargetMode="External" Id="rId82"/><Relationship Type="http://schemas.openxmlformats.org/officeDocument/2006/relationships/hyperlink" Target="https://www.amazon.co.uk/s?k=optical+endstop+switch+module+3D+printer" TargetMode="External" Id="rId83"/><Relationship Type="http://schemas.openxmlformats.org/officeDocument/2006/relationships/hyperlink" Target="https://www.aliexpress.com/wholesale?SearchText=optical+endstop+switch+module+3D+printer" TargetMode="External" Id="rId84"/><Relationship Type="http://schemas.openxmlformats.org/officeDocument/2006/relationships/hyperlink" Target="https://www.ebay.co.uk/sch/i.html?_nkw=nylon+M3+standoff+20mm" TargetMode="External" Id="rId85"/><Relationship Type="http://schemas.openxmlformats.org/officeDocument/2006/relationships/hyperlink" Target="https://www.amazon.co.uk/s?k=nylon+M3+standoff+20mm" TargetMode="External" Id="rId86"/><Relationship Type="http://schemas.openxmlformats.org/officeDocument/2006/relationships/hyperlink" Target="https://www.aliexpress.com/wholesale?SearchText=nylon+M3+standoff+20mm" TargetMode="External" Id="rId87"/><Relationship Type="http://schemas.openxmlformats.org/officeDocument/2006/relationships/hyperlink" Target="https://thepihut.com/products/7x7-cable-chain-1m" TargetMode="External" Id="rId88"/><Relationship Type="http://schemas.openxmlformats.org/officeDocument/2006/relationships/hyperlink" Target="https://www.ebay.co.uk/sch/i.html?_nkw=7x7+cable+drag+chain+1m" TargetMode="External" Id="rId89"/><Relationship Type="http://schemas.openxmlformats.org/officeDocument/2006/relationships/hyperlink" Target="https://www.amazon.co.uk/s?k=7x7+cable+drag+chain+1m" TargetMode="External" Id="rId90"/><Relationship Type="http://schemas.openxmlformats.org/officeDocument/2006/relationships/hyperlink" Target="https://www.aliexpress.com/wholesale?SearchText=7x7+cable+drag+chain+1m" TargetMode="External" Id="rId91"/><Relationship Type="http://schemas.openxmlformats.org/officeDocument/2006/relationships/hyperlink" Target="https://www.ebay.co.uk/sch/i.html?_nkw=cable+ties+100mm+x+2.5mm" TargetMode="External" Id="rId92"/><Relationship Type="http://schemas.openxmlformats.org/officeDocument/2006/relationships/hyperlink" Target="https://www.amazon.co.uk/s?k=cable+ties+100mm+x+2.5mm" TargetMode="External" Id="rId93"/><Relationship Type="http://schemas.openxmlformats.org/officeDocument/2006/relationships/hyperlink" Target="https://www.aliexpress.com/wholesale?SearchText=cable+ties+100mm+x+2.5mm" TargetMode="External" Id="rId94"/><Relationship Type="http://schemas.openxmlformats.org/officeDocument/2006/relationships/hyperlink" Target="https://www.ebay.co.uk/sch/i.html?_nkw=hex+key+set+1.5+2+2.5+3+4mm" TargetMode="External" Id="rId95"/><Relationship Type="http://schemas.openxmlformats.org/officeDocument/2006/relationships/hyperlink" Target="https://www.amazon.co.uk/s?k=hex+key+set+1.5+2+2.5+3+4mm" TargetMode="External" Id="rId96"/><Relationship Type="http://schemas.openxmlformats.org/officeDocument/2006/relationships/hyperlink" Target="https://www.aliexpress.com/wholesale?SearchText=hex+key+set+1.5+2+2.5+3+4mm" TargetMode="External" Id="rId97"/><Relationship Type="http://schemas.openxmlformats.org/officeDocument/2006/relationships/hyperlink" Target="https://www.google.com/search?q=site%3Aallfix.co.uk+M2x5+socket+cap+screw+self+colour" TargetMode="External" Id="rId98"/><Relationship Type="http://schemas.openxmlformats.org/officeDocument/2006/relationships/hyperlink" Target="https://www.google.com/search?q=site%3Aallfix.co.uk+M2x6+socket+countersunk+screw+self+colour" TargetMode="External" Id="rId99"/><Relationship Type="http://schemas.openxmlformats.org/officeDocument/2006/relationships/hyperlink" Target="https://www.ebay.co.uk/sch/i.html?_nkw=M2+heat+set+threaded+insert+brass" TargetMode="External" Id="rId100"/><Relationship Type="http://schemas.openxmlformats.org/officeDocument/2006/relationships/hyperlink" Target="https://www.amazon.co.uk/s?k=M2+heat+set+threaded+insert+brass" TargetMode="External" Id="rId101"/><Relationship Type="http://schemas.openxmlformats.org/officeDocument/2006/relationships/hyperlink" Target="https://www.aliexpress.com/wholesale?SearchText=M2+heat+set+threaded+insert+brass" TargetMode="External" Id="rId102"/><Relationship Type="http://schemas.openxmlformats.org/officeDocument/2006/relationships/hyperlink" Target="https://www.google.com/search?q=site%3Aallfix.co.uk+M3x5+socket+countersunk+screw+self+colour" TargetMode="External" Id="rId103"/><Relationship Type="http://schemas.openxmlformats.org/officeDocument/2006/relationships/hyperlink" Target="https://www.google.com/search?q=site%3Aallfix.co.uk+M3x6+socket+countersunk+screw+self+colour" TargetMode="External" Id="rId104"/><Relationship Type="http://schemas.openxmlformats.org/officeDocument/2006/relationships/hyperlink" Target="https://www.google.com/search?q=site%3Aallfix.co.uk+M3x8+socket+countersunk+screw+self+colour" TargetMode="External" Id="rId105"/><Relationship Type="http://schemas.openxmlformats.org/officeDocument/2006/relationships/hyperlink" Target="https://www.google.com/search?q=site%3Aallfix.co.uk+M3x12+socket+countersunk+screw+self+colour" TargetMode="External" Id="rId106"/><Relationship Type="http://schemas.openxmlformats.org/officeDocument/2006/relationships/hyperlink" Target="https://www.google.com/search?q=site%3Aallfix.co.uk+M3x20+socket+countersunk+screw+self+colour" TargetMode="External" Id="rId107"/><Relationship Type="http://schemas.openxmlformats.org/officeDocument/2006/relationships/hyperlink" Target="https://www.google.com/search?q=site%3Aallfix.co.uk+M3x30+socket+countersunk+screw+self+colour" TargetMode="External" Id="rId108"/><Relationship Type="http://schemas.openxmlformats.org/officeDocument/2006/relationships/hyperlink" Target="https://www.google.com/search?q=site%3Aallfix.co.uk+M3x6+socket+button+head+screw+self+colour" TargetMode="External" Id="rId109"/><Relationship Type="http://schemas.openxmlformats.org/officeDocument/2006/relationships/hyperlink" Target="https://www.google.com/search?q=site%3Aallfix.co.uk+M3x12+socket+button+head+screw+self+colour" TargetMode="External" Id="rId110"/><Relationship Type="http://schemas.openxmlformats.org/officeDocument/2006/relationships/hyperlink" Target="https://www.google.com/search?q=site%3Aallfix.co.uk+M3x25+socket+button+head+screw+self+colour" TargetMode="External" Id="rId111"/><Relationship Type="http://schemas.openxmlformats.org/officeDocument/2006/relationships/hyperlink" Target="https://www.google.com/search?q=site%3Aallfix.co.uk+M3x8+socket+cap+screw+self+colour" TargetMode="External" Id="rId112"/><Relationship Type="http://schemas.openxmlformats.org/officeDocument/2006/relationships/hyperlink" Target="https://www.ebay.co.uk/sch/i.html?_nkw=M3+thumb+screw+24mm+knurled" TargetMode="External" Id="rId113"/><Relationship Type="http://schemas.openxmlformats.org/officeDocument/2006/relationships/hyperlink" Target="https://www.amazon.co.uk/s?k=M3+thumb+screw+24mm+knurled" TargetMode="External" Id="rId114"/><Relationship Type="http://schemas.openxmlformats.org/officeDocument/2006/relationships/hyperlink" Target="https://www.aliexpress.com/wholesale?SearchText=M3+thumb+screw+24mm+knurled" TargetMode="External" Id="rId115"/><Relationship Type="http://schemas.openxmlformats.org/officeDocument/2006/relationships/hyperlink" Target="https://www.ebay.co.uk/sch/i.html?_nkw=M3+drop+in+T+nut+2020+profile" TargetMode="External" Id="rId116"/><Relationship Type="http://schemas.openxmlformats.org/officeDocument/2006/relationships/hyperlink" Target="https://www.amazon.co.uk/s?k=M3+drop+in+T+nut+2020+profile" TargetMode="External" Id="rId117"/><Relationship Type="http://schemas.openxmlformats.org/officeDocument/2006/relationships/hyperlink" Target="https://www.aliexpress.com/wholesale?SearchText=M3+drop+in+T+nut+2020+profile" TargetMode="External" Id="rId118"/><Relationship Type="http://schemas.openxmlformats.org/officeDocument/2006/relationships/hyperlink" Target="https://thepihut.com/products/brass-heat-set-inserts-for-plastic-m3-x-3mm-50-pack" TargetMode="External" Id="rId119"/><Relationship Type="http://schemas.openxmlformats.org/officeDocument/2006/relationships/hyperlink" Target="https://www.ebay.co.uk/sch/i.html?_nkw=M3+heat+set+insert+M3x3+brass" TargetMode="External" Id="rId120"/><Relationship Type="http://schemas.openxmlformats.org/officeDocument/2006/relationships/hyperlink" Target="https://www.amazon.co.uk/s?k=M3+heat+set+insert+M3x3+brass" TargetMode="External" Id="rId121"/><Relationship Type="http://schemas.openxmlformats.org/officeDocument/2006/relationships/hyperlink" Target="https://www.aliexpress.com/wholesale?SearchText=M3+heat+set+insert+M3x3+brass" TargetMode="External" Id="rId122"/><Relationship Type="http://schemas.openxmlformats.org/officeDocument/2006/relationships/hyperlink" Target="https://www.google.com/search?q=site%3Aallfix.co.uk+M5x8+socket+countersunk+screw+self+colour" TargetMode="External" Id="rId123"/><Relationship Type="http://schemas.openxmlformats.org/officeDocument/2006/relationships/hyperlink" Target="https://www.google.com/search?q=site%3Aallfix.co.uk+M5x20+socket+countersunk+screw+self+colour" TargetMode="External" Id="rId124"/><Relationship Type="http://schemas.openxmlformats.org/officeDocument/2006/relationships/hyperlink" Target="https://www.google.com/search?q=site%3Aallfix.co.uk+M5x12+socket+cap+screw+self+colour" TargetMode="External" Id="rId125"/><Relationship Type="http://schemas.openxmlformats.org/officeDocument/2006/relationships/hyperlink" Target="https://www.google.com/search?q=site%3Aallfix.co.uk+M5x8+socket+button+head+screw+self+colour" TargetMode="External" Id="rId126"/><Relationship Type="http://schemas.openxmlformats.org/officeDocument/2006/relationships/hyperlink" Target="https://www.google.com/search?q=site%3Aallfix.co.uk+M5x8+socket+cap+screw+self+colour" TargetMode="External" Id="rId127"/><Relationship Type="http://schemas.openxmlformats.org/officeDocument/2006/relationships/hyperlink" Target="https://www.ebay.co.uk/sch/i.html?_nkw=M5+drop+in+T+nut+2020+profile" TargetMode="External" Id="rId128"/><Relationship Type="http://schemas.openxmlformats.org/officeDocument/2006/relationships/hyperlink" Target="https://www.amazon.co.uk/s?k=M5+drop+in+T+nut+2020+profile" TargetMode="External" Id="rId129"/><Relationship Type="http://schemas.openxmlformats.org/officeDocument/2006/relationships/hyperlink" Target="https://www.aliexpress.com/wholesale?SearchText=M5+drop+in+T+nut+2020+profile" TargetMode="External" Id="rId130"/><Relationship Type="http://schemas.openxmlformats.org/officeDocument/2006/relationships/hyperlink" Target="https://www.ebay.co.uk/sch/i.html?_nkw=NEMA+14+stepper+motor+35mm+bipolar+1.8+degree" TargetMode="External" Id="rId131"/><Relationship Type="http://schemas.openxmlformats.org/officeDocument/2006/relationships/hyperlink" Target="https://www.amazon.co.uk/s?k=NEMA+14+stepper+motor+35mm+bipolar+1.8+degree" TargetMode="External" Id="rId132"/><Relationship Type="http://schemas.openxmlformats.org/officeDocument/2006/relationships/hyperlink" Target="https://www.aliexpress.com/wholesale?SearchText=NEMA+14+stepper+motor+35mm+bipolar+1.8+degree" TargetMode="External" Id="rId133"/><Relationship Type="http://schemas.openxmlformats.org/officeDocument/2006/relationships/hyperlink" Target="https://ratrig.com/products/bigtreetech-ebb42-usb-can-toolboard-without-max" TargetMode="External" Id="rId134"/><Relationship Type="http://schemas.openxmlformats.org/officeDocument/2006/relationships/hyperlink" Target="https://www.ebay.co.uk/sch/i.html?_nkw=BigTreeTech+EBB42+CAN+V1.2" TargetMode="External" Id="rId135"/><Relationship Type="http://schemas.openxmlformats.org/officeDocument/2006/relationships/hyperlink" Target="https://www.amazon.co.uk/s?k=BigTreeTech+EBB42+CAN+V1.2" TargetMode="External" Id="rId136"/><Relationship Type="http://schemas.openxmlformats.org/officeDocument/2006/relationships/hyperlink" Target="https://www.aliexpress.com/wholesale?SearchText=BigTreeTech+EBB42+CAN+V1.2" TargetMode="External" Id="rId137"/><Relationship Type="http://schemas.openxmlformats.org/officeDocument/2006/relationships/hyperlink" Target="https://www.ebay.co.uk/sch/i.html?_nkw=GT2+timing+belt+6mm+open+per+metre" TargetMode="External" Id="rId138"/><Relationship Type="http://schemas.openxmlformats.org/officeDocument/2006/relationships/hyperlink" Target="https://www.amazon.co.uk/s?k=GT2+timing+belt+6mm+open+per+metre" TargetMode="External" Id="rId139"/><Relationship Type="http://schemas.openxmlformats.org/officeDocument/2006/relationships/hyperlink" Target="https://www.aliexpress.com/wholesale?SearchText=GT2+timing+belt+6mm+open+per+metre" TargetMode="External" Id="rId140"/><Relationship Type="http://schemas.openxmlformats.org/officeDocument/2006/relationships/hyperlink" Target="https://www.ebay.co.uk/sch/i.html?_nkw=4+core+shielded+cable+CAN+bus+twisted+pair+22AWG" TargetMode="External" Id="rId141"/><Relationship Type="http://schemas.openxmlformats.org/officeDocument/2006/relationships/hyperlink" Target="https://www.amazon.co.uk/s?k=4+core+shielded+cable+CAN+bus+twisted+pair+22AWG" TargetMode="External" Id="rId142"/><Relationship Type="http://schemas.openxmlformats.org/officeDocument/2006/relationships/hyperlink" Target="https://www.aliexpress.com/wholesale?SearchText=4+core+shielded+cable+CAN+bus+twisted+pair+22AWG" TargetMode="External" Id="rId143"/><Relationship Type="http://schemas.openxmlformats.org/officeDocument/2006/relationships/hyperlink" Target="https://github.com/theworkisthework/terraPen-mechanical-design-files/blob/main/STLs/X_Idler_Top.stl" TargetMode="External" Id="rId144"/><Relationship Type="http://schemas.openxmlformats.org/officeDocument/2006/relationships/hyperlink" Target="https://github.com/theworkisthework/terraPen-mechanical-design-files/blob/main/STLs/X_Idler_Bottom.stl" TargetMode="External" Id="rId145"/><Relationship Type="http://schemas.openxmlformats.org/officeDocument/2006/relationships/hyperlink" Target="https://github.com/theworkisthework/terraPen-mechanical-design-files/blob/main/STLs/Y_Idler_Top.stl" TargetMode="External" Id="rId146"/><Relationship Type="http://schemas.openxmlformats.org/officeDocument/2006/relationships/hyperlink" Target="https://github.com/theworkisthework/terraPen-mechanical-design-files/blob/main/STLs/Y_Idler_Bottom.stl" TargetMode="External" Id="rId147"/><Relationship Type="http://schemas.openxmlformats.org/officeDocument/2006/relationships/hyperlink" Target="https://github.com/theworkisthework/terraPen-mechanical-design-files/blob/main/STLs/X_Motor_Top.stl" TargetMode="External" Id="rId148"/><Relationship Type="http://schemas.openxmlformats.org/officeDocument/2006/relationships/hyperlink" Target="https://github.com/theworkisthework/terraPen-mechanical-design-files/blob/main/STLs/X_Motor_Bottom.stl" TargetMode="External" Id="rId149"/><Relationship Type="http://schemas.openxmlformats.org/officeDocument/2006/relationships/hyperlink" Target="https://github.com/theworkisthework/terraPen-mechanical-design-files/blob/main/STLs/Y_Motor_Top.stl" TargetMode="External" Id="rId150"/><Relationship Type="http://schemas.openxmlformats.org/officeDocument/2006/relationships/hyperlink" Target="https://github.com/theworkisthework/terraPen-mechanical-design-files/blob/main/STLs/Y_Motor_Bottom.stl" TargetMode="External" Id="rId151"/><Relationship Type="http://schemas.openxmlformats.org/officeDocument/2006/relationships/hyperlink" Target="https://github.com/theworkisthework/terraPen-mechanical-design-files/blob/main/STLs/Xy_Carriage_Top.stl" TargetMode="External" Id="rId152"/><Relationship Type="http://schemas.openxmlformats.org/officeDocument/2006/relationships/hyperlink" Target="https://github.com/theworkisthework/terraPen-mechanical-design-files/blob/main/STLs/Xy_Carriage_Bottom.stl" TargetMode="External" Id="rId153"/><Relationship Type="http://schemas.openxmlformats.org/officeDocument/2006/relationships/hyperlink" Target="https://github.com/theworkisthework/terraPen-mechanical-design-files/blob/main/STLs/Xx_Carriage_Top.stl" TargetMode="External" Id="rId154"/><Relationship Type="http://schemas.openxmlformats.org/officeDocument/2006/relationships/hyperlink" Target="https://github.com/theworkisthework/terraPen-mechanical-design-files/blob/main/STLs/Xx_Carraiage_Bottom.stl" TargetMode="External" Id="rId155"/><Relationship Type="http://schemas.openxmlformats.org/officeDocument/2006/relationships/hyperlink" Target="https://github.com/theworkisthework/terraPen-mechanical-design-files/blob/main/STLs/Tool_Carriage.stl" TargetMode="External" Id="rId156"/><Relationship Type="http://schemas.openxmlformats.org/officeDocument/2006/relationships/hyperlink" Target="https://github.com/theworkisthework/terraPen-mechanical-design-files/blob/main/STLs/Belt_Clamp_Plate.stl" TargetMode="External" Id="rId157"/><Relationship Type="http://schemas.openxmlformats.org/officeDocument/2006/relationships/hyperlink" Target="https://github.com/theworkisthework/terraPen-mechanical-design-files/blob/main/STLs/Belt_Clamp_Teeth.stl" TargetMode="External" Id="rId158"/><Relationship Type="http://schemas.openxmlformats.org/officeDocument/2006/relationships/hyperlink" Target="https://github.com/theworkisthework/terraPen-mechanical-design-files/blob/main/STLs/Tensioner_Housing.stl" TargetMode="External" Id="rId159"/><Relationship Type="http://schemas.openxmlformats.org/officeDocument/2006/relationships/hyperlink" Target="https://github.com/theworkisthework/terraPen-mechanical-design-files/blob/main/STLs/2xTensioner_bit.stl" TargetMode="External" Id="rId160"/><Relationship Type="http://schemas.openxmlformats.org/officeDocument/2006/relationships/hyperlink" Target="https://github.com/theworkisthework/terraPen-mechanical-design-files/blob/main/STLs/Pen_Holder_Front.stl" TargetMode="External" Id="rId161"/><Relationship Type="http://schemas.openxmlformats.org/officeDocument/2006/relationships/hyperlink" Target="https://github.com/theworkisthework/terraPen-mechanical-design-files/blob/main/STLs/Pen_Clip_Block.stl" TargetMode="External" Id="rId162"/><Relationship Type="http://schemas.openxmlformats.org/officeDocument/2006/relationships/hyperlink" Target="https://github.com/theworkisthework/terraPen-mechanical-design-files/blob/main/STLs/Pen_Clip_Latch.stl" TargetMode="External" Id="rId163"/><Relationship Type="http://schemas.openxmlformats.org/officeDocument/2006/relationships/hyperlink" Target="https://github.com/theworkisthework/terraPen-mechanical-design-files/blob/main/STLs/Pen_Clip_Link.stl" TargetMode="External" Id="rId164"/><Relationship Type="http://schemas.openxmlformats.org/officeDocument/2006/relationships/hyperlink" Target="https://github.com/theworkisthework/terraPen-mechanical-design-files/blob/main/STLs/Electronics%20Enclosure.stl" TargetMode="External" Id="rId165"/><Relationship Type="http://schemas.openxmlformats.org/officeDocument/2006/relationships/hyperlink" Target="https://github.com/theworkisthework/terraPen-mechanical-design-files/blob/main/STLs/Power_Enclosure_Box.stl" TargetMode="External" Id="rId166"/><Relationship Type="http://schemas.openxmlformats.org/officeDocument/2006/relationships/hyperlink" Target="https://github.com/theworkisthework/terraPen-mechanical-design-files/blob/main/STLs/Power_Enclosure_Back.stl" TargetMode="External" Id="rId167"/><Relationship Type="http://schemas.openxmlformats.org/officeDocument/2006/relationships/hyperlink" Target="https://github.com/theworkisthework/terraPen-mechanical-design-files/blob/main/STLs/Xx_Endstop_Top%20.stl" TargetMode="External" Id="rId168"/><Relationship Type="http://schemas.openxmlformats.org/officeDocument/2006/relationships/hyperlink" Target="https://github.com/theworkisthework/terraPen-mechanical-design-files/blob/main/STLs/Xx_Endstop_Bottom.stl" TargetMode="External" Id="rId169"/><Relationship Type="http://schemas.openxmlformats.org/officeDocument/2006/relationships/hyperlink" Target="https://github.com/theworkisthework/terraPen-mechanical-design-files/blob/main/STLs/Y_Endstop_Mount.stl" TargetMode="External" Id="rId170"/><Relationship Type="http://schemas.openxmlformats.org/officeDocument/2006/relationships/hyperlink" Target="https://github.com/theworkisthework/terraPen-mechanical-design-files/blob/main/STLs/8xTPU_Bumper.stl" TargetMode="External" Id="rId171"/><Relationship Type="http://schemas.openxmlformats.org/officeDocument/2006/relationships/hyperlink" Target="https://github.com/theworkisthework/terraPen-mechanical-design-files/blob/main/STLs/Cable%20Cap%20for%20Extrusion.stl" TargetMode="External" Id="rId172"/><Relationship Type="http://schemas.openxmlformats.org/officeDocument/2006/relationships/hyperlink" Target="https://github.com/theworkisthework/terraPen-mechanical-design-files/blob/main/STLs/skinnyClipMount.stl" TargetMode="External" Id="rId173"/><Relationship Type="http://schemas.openxmlformats.org/officeDocument/2006/relationships/hyperlink" Target="https://github.com/theworkisthework/terraPen-mechanical-design-files/blob/main/STLs/stepper_tool_carriage.stl" TargetMode="External" Id="rId174"/><Relationship Type="http://schemas.openxmlformats.org/officeDocument/2006/relationships/hyperlink" Target="https://github.com/theworkisthework/terraPen-mechanical-design-files/blob/main/STLs/stepper_pen_mount.stl" TargetMode="External" Id="rId175"/><Relationship Type="http://schemas.openxmlformats.org/officeDocument/2006/relationships/hyperlink" Target="https://github.com/theworkisthework/terraPen-mechanical-design-files/blob/main/STLs/stepper_pen_mount_clamp.stl" TargetMode="External" Id="rId176"/><Relationship Type="http://schemas.openxmlformats.org/officeDocument/2006/relationships/hyperlink" Target="https://github.com/theworkisthework/terraPen-mechanical-design-files/blob/main/STLs/stepper%20belt%20pulley.stl" TargetMode="External" Id="rId177"/><Relationship Type="http://schemas.openxmlformats.org/officeDocument/2006/relationships/hyperlink" Target="https://github.com/theworkisthework/terraPen-mechanical-design-files/blob/main/STLs/Nema14mount2carriage.stl" TargetMode="External" Id="rId178"/><Relationship Type="http://schemas.openxmlformats.org/officeDocument/2006/relationships/hyperlink" Target="https://github.com/theworkisthework/terraPen-mechanical-design-files/blob/main/STLs/TPU%20Bungs/10mm%20Tapered%20Bung.stl" TargetMode="External" Id="rId179"/><Relationship Type="http://schemas.openxmlformats.org/officeDocument/2006/relationships/hyperlink" Target="https://github.com/theworkisthework/terraPen-mechanical-design-files/blob/main/STLs/TPU%20Bungs/11mm%20Tapered%20Bung.stl" TargetMode="External" Id="rId180"/><Relationship Type="http://schemas.openxmlformats.org/officeDocument/2006/relationships/hyperlink" Target="https://github.com/theworkisthework/terraPen-mechanical-design-files/blob/main/STLs/TPU%20Bungs/12mm%20Aperture%20Bung.stl" TargetMode="External" Id="rId181"/><Relationship Type="http://schemas.openxmlformats.org/officeDocument/2006/relationships/hyperlink" Target="https://github.com/theworkisthework/terraPen-mechanical-design-files/blob/main/STLs/TPU%20Bungs/15mm%20Aperture%20Bung.stl" TargetMode="External" Id="rId182"/><Relationship Type="http://schemas.openxmlformats.org/officeDocument/2006/relationships/hyperlink" Target="https://github.com/theworkisthework/terraPen-mechanical-design-files/blob/main/STLs/TPU%20Bungs/16_3mm%20Tapered%20Bung.stl" TargetMode="External" Id="rId183"/><Relationship Type="http://schemas.openxmlformats.org/officeDocument/2006/relationships/hyperlink" Target="https://github.com/theworkisthework/terraPen-mechanical-design-files/blob/main/STLs/TPU%20Bungs/4mm%20Aperture%20Bung.stl" TargetMode="External" Id="rId184"/><Relationship Type="http://schemas.openxmlformats.org/officeDocument/2006/relationships/hyperlink" Target="https://github.com/theworkisthework/terraPen-mechanical-design-files/blob/main/STLs/TPU%20Bungs/6mm%20Aperture%20Bung.stl" TargetMode="External" Id="rId185"/><Relationship Type="http://schemas.openxmlformats.org/officeDocument/2006/relationships/hyperlink" Target="https://github.com/theworkisthework/terraPen-mechanical-design-files/blob/main/STLs/TPU%20Bungs/8mm%20Tapered%20Bung.stl" TargetMode="External" Id="rId186"/><Relationship Type="http://schemas.openxmlformats.org/officeDocument/2006/relationships/hyperlink" Target="https://github.com/theworkisthework/terraPen-mechanical-design-files/blob/main/STLs/TPU%20Bungs/9mm%20Aperture%20Bung.stl" TargetMode="External" Id="rId187"/><Relationship Type="http://schemas.openxmlformats.org/officeDocument/2006/relationships/hyperlink" Target="https://github.com/theworkisthework/terraPen-mechanical-design-files/blob/main/STLs/TPU%20Bungs/9mm%20Tapered%20Bung.stl" TargetMode="External" Id="rId188"/><Relationship Type="http://schemas.openxmlformats.org/officeDocument/2006/relationships/hyperlink" Target="https://github.com/theworkisthework/terraPen-mechanical-design-files/blob/main/Stepper_Z_Axis_Experimental/Pen%20Holder%20Insert.FCStd" TargetMode="External" Id="rId189"/></Relationships>
</file>

<file path=xl/worksheets/sheet1.xml><?xml version="1.0" encoding="utf-8"?>
<worksheet xmlns="http://schemas.openxmlformats.org/spreadsheetml/2006/main">
  <sheetPr>
    <outlinePr summaryBelow="1" summaryRight="1"/>
    <pageSetUpPr fitToPage="1"/>
  </sheetPr>
  <dimension ref="A1:P126"/>
  <sheetViews>
    <sheetView showGridLine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0" customWidth="1" min="3" max="3"/>
    <col width="6" customWidth="1" min="4" max="4"/>
    <col width="9" customWidth="1" min="5" max="5"/>
    <col width="26" customWidth="1" min="6" max="6"/>
    <col width="22" customWidth="1" min="7" max="7"/>
    <col width="11" customWidth="1" min="8" max="8"/>
    <col width="17" customWidth="1" min="9" max="9"/>
    <col width="8" customWidth="1" min="10" max="10"/>
    <col width="9" customWidth="1" min="11" max="11"/>
    <col width="11" customWidth="1" min="12" max="12"/>
    <col width="10" customWidth="1" min="13" max="13"/>
    <col width="10" customWidth="1" min="14" max="14"/>
    <col width="11" customWidth="1" min="15" max="15"/>
    <col width="58" customWidth="1" min="16" max="16"/>
  </cols>
  <sheetData>
    <row r="1">
      <c r="A1" s="1" t="inlineStr">
        <is>
          <t>terraPen A2 – Bill of Materials (v2)</t>
        </is>
      </c>
    </row>
    <row r="2" ht="26" customHeight="1">
      <c r="A2" s="2" t="inlineStr">
        <is>
          <t>6 Oct 2026. Rebuilt from terraPenA2 BOM.xlsx and audited against the sub-assembly blocks, the CAD part names and the STL folder. Quantities in 'Qty' come from the sub-assemblies; the old master figure is kept beside it.</t>
        </is>
      </c>
    </row>
    <row r="3">
      <c r="A3" s="3" t="inlineStr">
        <is>
          <t>Status:</t>
        </is>
      </c>
      <c r="B3" s="33" t="inlineStr">
        <is>
          <t>OK – matches old master</t>
        </is>
      </c>
      <c r="C3" s="34" t="inlineStr">
        <is>
          <t>CHANGED – qty differs from old master</t>
        </is>
      </c>
      <c r="D3" s="35" t="n"/>
      <c r="F3" s="36" t="inlineStr">
        <is>
          <t>NEW – missing from old master</t>
        </is>
      </c>
      <c r="G3" s="37" t="inlineStr">
        <is>
          <t>CHECK – needs your decision</t>
        </is>
      </c>
      <c r="H3" s="35" t="n"/>
      <c r="I3" s="59" t="n"/>
      <c r="J3" s="35" t="n"/>
      <c r="P3" s="38" t="inlineStr">
        <is>
          <t>CUSTOM – no off-the-shelf source</t>
        </is>
      </c>
    </row>
    <row r="5" ht="30" customHeight="1">
      <c r="A5" s="9" t="inlineStr">
        <is>
          <t>Ref</t>
        </is>
      </c>
      <c r="B5" s="10" t="inlineStr">
        <is>
          <t>Part</t>
        </is>
      </c>
      <c r="C5" s="10" t="inlineStr">
        <is>
          <t>Spec / size</t>
        </is>
      </c>
      <c r="D5" s="9" t="inlineStr">
        <is>
          <t>Qty</t>
        </is>
      </c>
      <c r="E5" s="9" t="inlineStr">
        <is>
          <t>Old master qty</t>
        </is>
      </c>
      <c r="F5" s="10" t="inlineStr">
        <is>
          <t>Used in</t>
        </is>
      </c>
      <c r="G5" s="10" t="inlineStr">
        <is>
          <t>Supplier</t>
        </is>
      </c>
      <c r="H5" s="9" t="inlineStr">
        <is>
          <t>Primary link</t>
        </is>
      </c>
      <c r="I5" s="9" t="inlineStr">
        <is>
          <t>Link check</t>
        </is>
      </c>
      <c r="J5" s="9" t="inlineStr">
        <is>
          <t>eBay UK</t>
        </is>
      </c>
      <c r="K5" s="9" t="inlineStr">
        <is>
          <t>Amazon UK</t>
        </is>
      </c>
      <c r="L5" s="9" t="inlineStr">
        <is>
          <t>AliExpress</t>
        </is>
      </c>
      <c r="M5" s="9" t="inlineStr">
        <is>
          <t>Unit £ (inc VAT)</t>
        </is>
      </c>
      <c r="N5" s="9" t="inlineStr">
        <is>
          <t>Line £</t>
        </is>
      </c>
      <c r="O5" s="9" t="inlineStr">
        <is>
          <t>Status</t>
        </is>
      </c>
      <c r="P5" s="10" t="inlineStr">
        <is>
          <t>Notes</t>
        </is>
      </c>
    </row>
    <row r="6" ht="20" customHeight="1">
      <c r="A6" s="11" t="inlineStr">
        <is>
          <t>1  FRAME &amp; STRUCTURE</t>
        </is>
      </c>
      <c r="B6" s="11" t="n"/>
      <c r="C6" s="11" t="n"/>
      <c r="D6" s="11" t="n"/>
      <c r="E6" s="11" t="n"/>
      <c r="F6" s="11" t="n"/>
      <c r="G6" s="11" t="n"/>
      <c r="H6" s="11" t="n"/>
      <c r="I6" s="11" t="n"/>
      <c r="J6" s="11" t="n"/>
      <c r="K6" s="11" t="n"/>
      <c r="L6" s="11" t="n"/>
      <c r="M6" s="11" t="n"/>
      <c r="N6" s="11" t="n"/>
      <c r="O6" s="11" t="n"/>
      <c r="P6" s="11" t="n"/>
    </row>
    <row r="7">
      <c r="A7" s="12" t="inlineStr">
        <is>
          <t>1.01</t>
        </is>
      </c>
      <c r="B7" s="13" t="inlineStr">
        <is>
          <t>2020 T-slot extrusion</t>
        </is>
      </c>
      <c r="C7" s="13" t="inlineStr">
        <is>
          <t>760 mm, cut, M5 tapped both ends</t>
        </is>
      </c>
      <c r="D7" s="12" t="n">
        <v>4</v>
      </c>
      <c r="E7" s="12" t="n">
        <v>4</v>
      </c>
      <c r="F7" s="13" t="inlineStr">
        <is>
          <t>Frame – width</t>
        </is>
      </c>
      <c r="G7" s="13" t="inlineStr">
        <is>
          <t>Ooznest (cut to size)</t>
        </is>
      </c>
      <c r="H7" s="14" t="inlineStr">
        <is>
          <t>Open page</t>
        </is>
      </c>
      <c r="I7" s="12" t="inlineStr">
        <is>
          <t>Page opened</t>
        </is>
      </c>
      <c r="J7" s="14" t="inlineStr">
        <is>
          <t>eBay</t>
        </is>
      </c>
      <c r="K7" s="14" t="inlineStr">
        <is>
          <t>Amazon</t>
        </is>
      </c>
      <c r="L7" s="14" t="inlineStr">
        <is>
          <t>AliExpress</t>
        </is>
      </c>
      <c r="M7" s="15" t="n"/>
      <c r="N7" s="15">
        <f>IF(OR(D7="",M7=""),"",D7*M7)</f>
        <v/>
      </c>
      <c r="O7" s="16" t="inlineStr">
        <is>
          <t>OK</t>
        </is>
      </c>
      <c r="P7" s="13" t="inlineStr">
        <is>
          <t>Order all 2020 lengths together as cut-to-size. Confirm the profile takes M5 drop-in T-nuts (Ooznest sells T/V-slot 20 series). Price not shown on page. Both ends are tapped M5 for the corner-cube bolts: ask the supplier to tap them, or tap them yourself.</t>
        </is>
      </c>
    </row>
    <row r="8">
      <c r="A8" s="12" t="inlineStr">
        <is>
          <t>1.02</t>
        </is>
      </c>
      <c r="B8" s="13" t="inlineStr">
        <is>
          <t>2020 T-slot extrusion</t>
        </is>
      </c>
      <c r="C8" s="13" t="inlineStr">
        <is>
          <t>560 mm, cut, M5 tapped both ends</t>
        </is>
      </c>
      <c r="D8" s="12" t="n">
        <v>4</v>
      </c>
      <c r="E8" s="12" t="n">
        <v>4</v>
      </c>
      <c r="F8" s="13" t="inlineStr">
        <is>
          <t>Frame – length</t>
        </is>
      </c>
      <c r="G8" s="13" t="inlineStr">
        <is>
          <t>Ooznest (cut to size)</t>
        </is>
      </c>
      <c r="H8" s="14" t="inlineStr">
        <is>
          <t>Open page</t>
        </is>
      </c>
      <c r="I8" s="12" t="inlineStr">
        <is>
          <t>Page opened</t>
        </is>
      </c>
      <c r="J8" s="14" t="inlineStr">
        <is>
          <t>eBay</t>
        </is>
      </c>
      <c r="K8" s="14" t="inlineStr">
        <is>
          <t>Amazon</t>
        </is>
      </c>
      <c r="L8" s="14" t="inlineStr">
        <is>
          <t>AliExpress</t>
        </is>
      </c>
      <c r="M8" s="15" t="n"/>
      <c r="N8" s="15">
        <f>IF(OR(D8="",M8=""),"",D8*M8)</f>
        <v/>
      </c>
      <c r="O8" s="16" t="inlineStr">
        <is>
          <t>OK</t>
        </is>
      </c>
      <c r="P8" s="13" t="inlineStr">
        <is>
          <t xml:space="preserve"> Both ends are tapped M5 for the corner-cube bolts: ask the supplier to tap them, or tap them yourself.</t>
        </is>
      </c>
    </row>
    <row r="9">
      <c r="A9" s="12" t="inlineStr">
        <is>
          <t>1.03</t>
        </is>
      </c>
      <c r="B9" s="13" t="inlineStr">
        <is>
          <t>2020 T-slot extrusion</t>
        </is>
      </c>
      <c r="C9" s="13" t="inlineStr">
        <is>
          <t>710 mm, cut (X rail)</t>
        </is>
      </c>
      <c r="D9" s="12" t="n">
        <v>1</v>
      </c>
      <c r="E9" s="12" t="n">
        <v>1</v>
      </c>
      <c r="F9" s="13" t="inlineStr">
        <is>
          <t>Frame – X rail</t>
        </is>
      </c>
      <c r="G9" s="13" t="inlineStr">
        <is>
          <t>Ooznest (cut to size)</t>
        </is>
      </c>
      <c r="H9" s="14" t="inlineStr">
        <is>
          <t>Open page</t>
        </is>
      </c>
      <c r="I9" s="12" t="inlineStr">
        <is>
          <t>Page opened</t>
        </is>
      </c>
      <c r="J9" s="14" t="inlineStr">
        <is>
          <t>eBay</t>
        </is>
      </c>
      <c r="K9" s="14" t="inlineStr">
        <is>
          <t>Amazon</t>
        </is>
      </c>
      <c r="L9" s="14" t="inlineStr">
        <is>
          <t>AliExpress</t>
        </is>
      </c>
      <c r="M9" s="15" t="n"/>
      <c r="N9" s="15">
        <f>IF(OR(D9="",M9=""),"",D9*M9)</f>
        <v/>
      </c>
      <c r="O9" s="16" t="inlineStr">
        <is>
          <t>OK</t>
        </is>
      </c>
      <c r="P9" s="13" t="n"/>
    </row>
    <row r="10">
      <c r="A10" s="12" t="inlineStr">
        <is>
          <t>1.04</t>
        </is>
      </c>
      <c r="B10" s="13" t="inlineStr">
        <is>
          <t>2020 T-slot extrusion</t>
        </is>
      </c>
      <c r="C10" s="13" t="inlineStr">
        <is>
          <t>50 mm, cut (uprights / legs), M5 tapped both ends</t>
        </is>
      </c>
      <c r="D10" s="17" t="n">
        <v>4</v>
      </c>
      <c r="E10" s="12" t="n">
        <v>4</v>
      </c>
      <c r="F10" s="13" t="inlineStr">
        <is>
          <t>Frame – height</t>
        </is>
      </c>
      <c r="G10" s="13" t="inlineStr">
        <is>
          <t>Ooznest (cut to size)</t>
        </is>
      </c>
      <c r="H10" s="14" t="inlineStr">
        <is>
          <t>Open page</t>
        </is>
      </c>
      <c r="I10" s="12" t="inlineStr">
        <is>
          <t>Page opened</t>
        </is>
      </c>
      <c r="J10" s="14" t="inlineStr">
        <is>
          <t>eBay</t>
        </is>
      </c>
      <c r="K10" s="14" t="inlineStr">
        <is>
          <t>Amazon</t>
        </is>
      </c>
      <c r="L10" s="14" t="inlineStr">
        <is>
          <t>AliExpress</t>
        </is>
      </c>
      <c r="M10" s="15" t="n"/>
      <c r="N10" s="15">
        <f>IF(OR(D10="",M10=""),"",D10*M10)</f>
        <v/>
      </c>
      <c r="O10" s="18" t="inlineStr">
        <is>
          <t>CHECK</t>
        </is>
      </c>
      <c r="P10" s="13" t="inlineStr">
        <is>
          <t>You think you cut these to 50 mm. The old BOM said 45 mm and the CAD part is named '...Extrusion40', so check against the actual legs and the CAD. Both ends are tapped M5 for the corner-cube bolts: ask the supplier to tap them, or tap them yourself.</t>
        </is>
      </c>
    </row>
    <row r="11">
      <c r="A11" s="12" t="inlineStr">
        <is>
          <t>1.05</t>
        </is>
      </c>
      <c r="B11" s="13" t="inlineStr">
        <is>
          <t>2020 corner cube connector</t>
        </is>
      </c>
      <c r="C11" s="13" t="inlineStr">
        <is>
          <t>3-way, 20x20x20</t>
        </is>
      </c>
      <c r="D11" s="12" t="n">
        <v>8</v>
      </c>
      <c r="E11" s="12" t="n">
        <v>8</v>
      </c>
      <c r="F11" s="13" t="inlineStr">
        <is>
          <t>Frame – corners</t>
        </is>
      </c>
      <c r="G11" s="13" t="inlineStr">
        <is>
          <t>Ooznest</t>
        </is>
      </c>
      <c r="H11" s="14" t="inlineStr">
        <is>
          <t>Open page</t>
        </is>
      </c>
      <c r="I11" s="12" t="inlineStr">
        <is>
          <t>Search result (not opened)</t>
        </is>
      </c>
      <c r="J11" s="14" t="inlineStr">
        <is>
          <t>eBay</t>
        </is>
      </c>
      <c r="K11" s="14" t="inlineStr">
        <is>
          <t>Amazon</t>
        </is>
      </c>
      <c r="L11" s="14" t="inlineStr">
        <is>
          <t>AliExpress</t>
        </is>
      </c>
      <c r="M11" s="15" t="n"/>
      <c r="N11" s="15">
        <f>IF(OR(D11="",M11=""),"",D11*M11)</f>
        <v/>
      </c>
      <c r="O11" s="16" t="inlineStr">
        <is>
          <t>OK</t>
        </is>
      </c>
      <c r="P11" s="13" t="inlineStr">
        <is>
          <t>An M5 cap head bolt goes straight through each cube into the tapped end of the extrusion, so no T-nuts are needed. Each cube has three bolt holes.</t>
        </is>
      </c>
    </row>
    <row r="12">
      <c r="A12" s="12" t="inlineStr">
        <is>
          <t>1.06</t>
        </is>
      </c>
      <c r="B12" s="13" t="inlineStr">
        <is>
          <t>2020 corner bracket</t>
        </is>
      </c>
      <c r="C12" s="13" t="inlineStr">
        <is>
          <t>90 degree</t>
        </is>
      </c>
      <c r="D12" s="17" t="n">
        <v>2</v>
      </c>
      <c r="E12" s="12" t="n">
        <v>2</v>
      </c>
      <c r="F12" s="13" t="inlineStr">
        <is>
          <t>Frame</t>
        </is>
      </c>
      <c r="G12" s="13" t="n"/>
      <c r="H12" s="12" t="inlineStr">
        <is>
          <t>–</t>
        </is>
      </c>
      <c r="I12" s="12" t="inlineStr">
        <is>
          <t>Search links only</t>
        </is>
      </c>
      <c r="J12" s="14" t="inlineStr">
        <is>
          <t>eBay</t>
        </is>
      </c>
      <c r="K12" s="14" t="inlineStr">
        <is>
          <t>Amazon</t>
        </is>
      </c>
      <c r="L12" s="14" t="inlineStr">
        <is>
          <t>AliExpress</t>
        </is>
      </c>
      <c r="M12" s="15" t="n"/>
      <c r="N12" s="15">
        <f>IF(OR(D12="",M12=""),"",D12*M12)</f>
        <v/>
      </c>
      <c r="O12" s="18" t="inlineStr">
        <is>
          <t>CHECK</t>
        </is>
      </c>
      <c r="P12" s="13" t="inlineStr">
        <is>
          <t>CAD file has six '2020_90_bracket' bodies vs 2 here (may be leftovers in the CAD). Confirm quantity.</t>
        </is>
      </c>
    </row>
    <row r="13">
      <c r="A13" s="12" t="inlineStr">
        <is>
          <t>1.07</t>
        </is>
      </c>
      <c r="B13" s="13" t="inlineStr">
        <is>
          <t>Rubber feet</t>
        </is>
      </c>
      <c r="C13" s="13" t="inlineStr">
        <is>
          <t>20 mm dia x 15 mm high</t>
        </is>
      </c>
      <c r="D13" s="12" t="n">
        <v>4</v>
      </c>
      <c r="E13" s="12" t="n">
        <v>4</v>
      </c>
      <c r="F13" s="13" t="inlineStr">
        <is>
          <t>Frame – base</t>
        </is>
      </c>
      <c r="G13" s="13" t="n"/>
      <c r="H13" s="12" t="inlineStr">
        <is>
          <t>–</t>
        </is>
      </c>
      <c r="I13" s="12" t="inlineStr">
        <is>
          <t>Search links only</t>
        </is>
      </c>
      <c r="J13" s="14" t="inlineStr">
        <is>
          <t>eBay</t>
        </is>
      </c>
      <c r="K13" s="14" t="inlineStr">
        <is>
          <t>Amazon</t>
        </is>
      </c>
      <c r="L13" s="14" t="inlineStr">
        <is>
          <t>AliExpress</t>
        </is>
      </c>
      <c r="M13" s="15" t="n"/>
      <c r="N13" s="15">
        <f>IF(OR(D13="",M13=""),"",D13*M13)</f>
        <v/>
      </c>
      <c r="O13" s="16" t="inlineStr">
        <is>
          <t>OK</t>
        </is>
      </c>
      <c r="P13" s="13" t="n"/>
    </row>
    <row r="14">
      <c r="A14" s="12" t="inlineStr">
        <is>
          <t>1.08</t>
        </is>
      </c>
      <c r="B14" s="13" t="inlineStr">
        <is>
          <t>Baseboard – EKOply</t>
        </is>
      </c>
      <c r="C14" s="13" t="inlineStr">
        <is>
          <t>800 x 600 x 12.5 mm</t>
        </is>
      </c>
      <c r="D14" s="17" t="n">
        <v>1</v>
      </c>
      <c r="E14" s="12" t="n">
        <v>1</v>
      </c>
      <c r="F14" s="13" t="inlineStr">
        <is>
          <t>Base</t>
        </is>
      </c>
      <c r="G14" s="13" t="inlineStr">
        <is>
          <t>Sheet Materials Wholesale (full 2440x1220 sheet, needs cutting)</t>
        </is>
      </c>
      <c r="H14" s="14" t="inlineStr">
        <is>
          <t>Open page</t>
        </is>
      </c>
      <c r="I14" s="12" t="inlineStr">
        <is>
          <t>Search result (not opened)</t>
        </is>
      </c>
      <c r="J14" s="14" t="inlineStr">
        <is>
          <t>eBay</t>
        </is>
      </c>
      <c r="K14" s="14" t="inlineStr">
        <is>
          <t>Amazon</t>
        </is>
      </c>
      <c r="L14" s="14" t="inlineStr">
        <is>
          <t>AliExpress</t>
        </is>
      </c>
      <c r="M14" s="15" t="n"/>
      <c r="N14" s="15">
        <f>IF(OR(D14="",M14=""),"",D14*M14)</f>
        <v/>
      </c>
      <c r="O14" s="18" t="inlineStr">
        <is>
          <t>CHECK</t>
        </is>
      </c>
      <c r="P14" s="13" t="inlineStr">
        <is>
          <t>Ekopine/EKOply is normally sold as 12 mm, not 12.5. Confirm the thickness your CAD and rail mounts expect. Replaced by the metal baseboard below if you migrate.</t>
        </is>
      </c>
    </row>
    <row r="15">
      <c r="A15" s="12" t="inlineStr">
        <is>
          <t>1.09</t>
        </is>
      </c>
      <c r="B15" s="13" t="inlineStr">
        <is>
          <t>Metal baseboard with vinyl sticker (alternative to the plywood base)</t>
        </is>
      </c>
      <c r="C15" s="13" t="inlineStr">
        <is>
          <t>Ferrous Dibond-style composite, cut to shape; profile 'tP_Bed_Profile_Revised.dxf', artwork 'Diabond vinyl revised .ai' (both in /metal bed)</t>
        </is>
      </c>
      <c r="D15" s="17" t="n">
        <v>1</v>
      </c>
      <c r="E15" s="12" t="n"/>
      <c r="F15" s="13" t="inlineStr">
        <is>
          <t>Base</t>
        </is>
      </c>
      <c r="G15" s="13" t="inlineStr">
        <is>
          <t>Local sign shop</t>
        </is>
      </c>
      <c r="H15" s="14" t="inlineStr">
        <is>
          <t>DXF file</t>
        </is>
      </c>
      <c r="I15" s="12" t="inlineStr">
        <is>
          <t>Your quote; repo path (not opened)</t>
        </is>
      </c>
      <c r="J15" s="12" t="inlineStr">
        <is>
          <t>–</t>
        </is>
      </c>
      <c r="K15" s="12" t="inlineStr">
        <is>
          <t>–</t>
        </is>
      </c>
      <c r="L15" s="12" t="inlineStr">
        <is>
          <t>–</t>
        </is>
      </c>
      <c r="M15" s="15" t="n">
        <v>100</v>
      </c>
      <c r="N15" s="15">
        <f>IF(OR(D15="",M15=""),"",D15*M15)</f>
        <v/>
      </c>
      <c r="O15" s="19" t="inlineStr">
        <is>
          <t>NEW</t>
        </is>
      </c>
      <c r="P15" s="13" t="inlineStr">
        <is>
          <t>£100 from a local sign shop (your cost; assumed to include the sticker). They cut it to shape. Countersink the holes before the sticker is applied. Replaces the plywood base (the baseboard row above) if you migrate.</t>
        </is>
      </c>
    </row>
    <row r="16" ht="20" customHeight="1">
      <c r="A16" s="11" t="inlineStr">
        <is>
          <t>2  LINEAR MOTION</t>
        </is>
      </c>
      <c r="B16" s="11" t="n"/>
      <c r="C16" s="11" t="n"/>
      <c r="D16" s="11" t="n"/>
      <c r="E16" s="11" t="n"/>
      <c r="F16" s="11" t="n"/>
      <c r="G16" s="11" t="n"/>
      <c r="H16" s="11" t="n"/>
      <c r="I16" s="11" t="n"/>
      <c r="J16" s="11" t="n"/>
      <c r="K16" s="11" t="n"/>
      <c r="L16" s="11" t="n"/>
      <c r="M16" s="11" t="n"/>
      <c r="N16" s="11" t="n"/>
      <c r="O16" s="11" t="n"/>
      <c r="P16" s="11" t="n"/>
    </row>
    <row r="17">
      <c r="A17" s="12" t="inlineStr">
        <is>
          <t>2.01</t>
        </is>
      </c>
      <c r="B17" s="13" t="inlineStr">
        <is>
          <t>Linear rail + 1 block, MGN9H</t>
        </is>
      </c>
      <c r="C17" s="13" t="inlineStr">
        <is>
          <t>540 mm (Y axis)</t>
        </is>
      </c>
      <c r="D17" s="12" t="n">
        <v>2</v>
      </c>
      <c r="E17" s="12" t="n">
        <v>2</v>
      </c>
      <c r="F17" s="13" t="inlineStr">
        <is>
          <t>Y left / Y right</t>
        </is>
      </c>
      <c r="G17" s="13" t="n"/>
      <c r="H17" s="12" t="inlineStr">
        <is>
          <t>–</t>
        </is>
      </c>
      <c r="I17" s="12" t="inlineStr">
        <is>
          <t>Search links only</t>
        </is>
      </c>
      <c r="J17" s="14" t="inlineStr">
        <is>
          <t>eBay</t>
        </is>
      </c>
      <c r="K17" s="14" t="inlineStr">
        <is>
          <t>Amazon</t>
        </is>
      </c>
      <c r="L17" s="14" t="inlineStr">
        <is>
          <t>AliExpress</t>
        </is>
      </c>
      <c r="M17" s="15" t="n"/>
      <c r="N17" s="15">
        <f>IF(OR(D17="",M17=""),"",D17*M17)</f>
        <v/>
      </c>
      <c r="O17" s="16" t="inlineStr">
        <is>
          <t>OK</t>
        </is>
      </c>
      <c r="P17" s="13" t="inlineStr">
        <is>
          <t>Block count was never stated; 1 per rail is assumed from the sub-assemblies. 550 mm is the common listed length, so check hole spacing if you substitute.</t>
        </is>
      </c>
    </row>
    <row r="18">
      <c r="A18" s="12" t="inlineStr">
        <is>
          <t>2.02</t>
        </is>
      </c>
      <c r="B18" s="13" t="inlineStr">
        <is>
          <t>Linear rail + 1 block, MGN9H</t>
        </is>
      </c>
      <c r="C18" s="13" t="inlineStr">
        <is>
          <t>710 mm (X axis)</t>
        </is>
      </c>
      <c r="D18" s="17" t="n">
        <v>1</v>
      </c>
      <c r="E18" s="12" t="n">
        <v>1</v>
      </c>
      <c r="F18" s="13" t="inlineStr">
        <is>
          <t>X rail / carriage</t>
        </is>
      </c>
      <c r="G18" s="13" t="n"/>
      <c r="H18" s="12" t="inlineStr">
        <is>
          <t>–</t>
        </is>
      </c>
      <c r="I18" s="12" t="inlineStr">
        <is>
          <t>Search links only</t>
        </is>
      </c>
      <c r="J18" s="14" t="inlineStr">
        <is>
          <t>eBay</t>
        </is>
      </c>
      <c r="K18" s="14" t="inlineStr">
        <is>
          <t>Amazon</t>
        </is>
      </c>
      <c r="L18" s="14" t="inlineStr">
        <is>
          <t>AliExpress</t>
        </is>
      </c>
      <c r="M18" s="15" t="n"/>
      <c r="N18" s="15">
        <f>IF(OR(D18="",M18=""),"",D18*M18)</f>
        <v/>
      </c>
      <c r="O18" s="18" t="inlineStr">
        <is>
          <t>CHECK</t>
        </is>
      </c>
      <c r="P18" s="13" t="inlineStr">
        <is>
          <t>710 mm is not a common stock length; you may need a 750 mm rail cut down, or a custom length from the seller.</t>
        </is>
      </c>
    </row>
    <row r="19">
      <c r="A19" s="12" t="inlineStr">
        <is>
          <t>2.03</t>
        </is>
      </c>
      <c r="B19" s="13" t="inlineStr">
        <is>
          <t>Linear rail + 1 block, MGN7H</t>
        </is>
      </c>
      <c r="C19" s="13" t="inlineStr">
        <is>
          <t>50 mm (Z / pen lift)</t>
        </is>
      </c>
      <c r="D19" s="17" t="n">
        <v>1</v>
      </c>
      <c r="E19" s="12" t="n">
        <v>1</v>
      </c>
      <c r="F19" s="13" t="inlineStr">
        <is>
          <t>Tool head</t>
        </is>
      </c>
      <c r="G19" s="13" t="n"/>
      <c r="H19" s="12" t="inlineStr">
        <is>
          <t>–</t>
        </is>
      </c>
      <c r="I19" s="12" t="inlineStr">
        <is>
          <t>Search links only</t>
        </is>
      </c>
      <c r="J19" s="14" t="inlineStr">
        <is>
          <t>eBay</t>
        </is>
      </c>
      <c r="K19" s="14" t="inlineStr">
        <is>
          <t>Amazon</t>
        </is>
      </c>
      <c r="L19" s="14" t="inlineStr">
        <is>
          <t>AliExpress</t>
        </is>
      </c>
      <c r="M19" s="15" t="n"/>
      <c r="N19" s="15">
        <f>IF(OR(D19="",M19=""),"",D19*M19)</f>
        <v/>
      </c>
      <c r="O19" s="18" t="inlineStr">
        <is>
          <t>CHECK</t>
        </is>
      </c>
      <c r="P19" s="13" t="inlineStr">
        <is>
          <t>Sold as short rails in 50 mm steps by most sellers. The stepper-head CAD also contains a rail and carriage; confirm this is still an MGN7H 50 mm.</t>
        </is>
      </c>
    </row>
    <row r="20" ht="20" customHeight="1">
      <c r="A20" s="11" t="inlineStr">
        <is>
          <t>3  DRIVE – BELTS, PULLEYS, MOTORS</t>
        </is>
      </c>
      <c r="B20" s="11" t="n"/>
      <c r="C20" s="11" t="n"/>
      <c r="D20" s="11" t="n"/>
      <c r="E20" s="11" t="n"/>
      <c r="F20" s="11" t="n"/>
      <c r="G20" s="11" t="n"/>
      <c r="H20" s="11" t="n"/>
      <c r="I20" s="11" t="n"/>
      <c r="J20" s="11" t="n"/>
      <c r="K20" s="11" t="n"/>
      <c r="L20" s="11" t="n"/>
      <c r="M20" s="11" t="n"/>
      <c r="N20" s="11" t="n"/>
      <c r="O20" s="11" t="n"/>
      <c r="P20" s="11" t="n"/>
    </row>
    <row r="21">
      <c r="A21" s="12" t="inlineStr">
        <is>
          <t>3.01</t>
        </is>
      </c>
      <c r="B21" s="13" t="inlineStr">
        <is>
          <t>GT2 timing belt, open</t>
        </is>
      </c>
      <c r="C21" s="13" t="inlineStr">
        <is>
          <t>6 mm wide x 3000 mm</t>
        </is>
      </c>
      <c r="D21" s="12" t="n">
        <v>2</v>
      </c>
      <c r="E21" s="12" t="n">
        <v>2</v>
      </c>
      <c r="F21" s="13" t="inlineStr">
        <is>
          <t>X and Y belts</t>
        </is>
      </c>
      <c r="G21" s="13" t="inlineStr">
        <is>
          <t>Any seller</t>
        </is>
      </c>
      <c r="H21" s="12" t="inlineStr">
        <is>
          <t>–</t>
        </is>
      </c>
      <c r="I21" s="12" t="inlineStr">
        <is>
          <t>Search links only</t>
        </is>
      </c>
      <c r="J21" s="14" t="inlineStr">
        <is>
          <t>eBay</t>
        </is>
      </c>
      <c r="K21" s="14" t="inlineStr">
        <is>
          <t>Amazon</t>
        </is>
      </c>
      <c r="L21" s="14" t="inlineStr">
        <is>
          <t>AliExpress</t>
        </is>
      </c>
      <c r="M21" s="15" t="n"/>
      <c r="N21" s="15">
        <f>IF(OR(D21="",M21=""),"",D21*M21)</f>
        <v/>
      </c>
      <c r="O21" s="16" t="inlineStr">
        <is>
          <t>OK</t>
        </is>
      </c>
      <c r="P21" s="13" t="inlineStr">
        <is>
          <t>Any 6 mm GT2 belt will do (confirmed by you). Order 6 m in total, or 2 x 3 m.</t>
        </is>
      </c>
    </row>
    <row r="22">
      <c r="A22" s="12" t="inlineStr">
        <is>
          <t>3.02</t>
        </is>
      </c>
      <c r="B22" s="13" t="inlineStr">
        <is>
          <t>GT2 pulley, toothed drive</t>
        </is>
      </c>
      <c r="C22" s="13" t="inlineStr">
        <is>
          <t>20T, 5 mm bore, 6 mm belt</t>
        </is>
      </c>
      <c r="D22" s="12" t="n">
        <v>2</v>
      </c>
      <c r="E22" s="12" t="n">
        <v>2</v>
      </c>
      <c r="F22" s="13" t="inlineStr">
        <is>
          <t>X motor, Y motor</t>
        </is>
      </c>
      <c r="G22" s="13" t="n"/>
      <c r="H22" s="12" t="inlineStr">
        <is>
          <t>–</t>
        </is>
      </c>
      <c r="I22" s="12" t="inlineStr">
        <is>
          <t>Search links only</t>
        </is>
      </c>
      <c r="J22" s="14" t="inlineStr">
        <is>
          <t>eBay</t>
        </is>
      </c>
      <c r="K22" s="14" t="inlineStr">
        <is>
          <t>Amazon</t>
        </is>
      </c>
      <c r="L22" s="14" t="inlineStr">
        <is>
          <t>AliExpress</t>
        </is>
      </c>
      <c r="M22" s="15" t="n"/>
      <c r="N22" s="15">
        <f>IF(OR(D22="",M22=""),"",D22*M22)</f>
        <v/>
      </c>
      <c r="O22" s="16" t="inlineStr">
        <is>
          <t>OK</t>
        </is>
      </c>
      <c r="P22" s="13" t="inlineStr">
        <is>
          <t>The old master row has a stray '10' in the length column.</t>
        </is>
      </c>
    </row>
    <row r="23">
      <c r="A23" s="12" t="inlineStr">
        <is>
          <t>3.03</t>
        </is>
      </c>
      <c r="B23" s="13" t="inlineStr">
        <is>
          <t>GT2 idler, smooth</t>
        </is>
      </c>
      <c r="C23" s="13" t="inlineStr">
        <is>
          <t>20T, 5 mm bore, 6 mm belt</t>
        </is>
      </c>
      <c r="D23" s="12" t="n">
        <v>4</v>
      </c>
      <c r="E23" s="12" t="n">
        <v>4</v>
      </c>
      <c r="F23" s="13" t="inlineStr">
        <is>
          <t>X/Y idlers, Y left/right, motor mounts</t>
        </is>
      </c>
      <c r="G23" s="13" t="n"/>
      <c r="H23" s="12" t="inlineStr">
        <is>
          <t>–</t>
        </is>
      </c>
      <c r="I23" s="12" t="inlineStr">
        <is>
          <t>Search links only</t>
        </is>
      </c>
      <c r="J23" s="14" t="inlineStr">
        <is>
          <t>eBay</t>
        </is>
      </c>
      <c r="K23" s="14" t="inlineStr">
        <is>
          <t>Amazon</t>
        </is>
      </c>
      <c r="L23" s="14" t="inlineStr">
        <is>
          <t>AliExpress</t>
        </is>
      </c>
      <c r="M23" s="15" t="n"/>
      <c r="N23" s="15">
        <f>IF(OR(D23="",M23=""),"",D23*M23)</f>
        <v/>
      </c>
      <c r="O23" s="16" t="inlineStr">
        <is>
          <t>OK</t>
        </is>
      </c>
      <c r="P23" s="13" t="inlineStr">
        <is>
          <t>Confirmed by you (matches old master). The sub-assembly blocks list 6 smooth + 6 toothed, so two of their smooth-idler lines should really be toothed. Total of 14 pulleys is unchanged.</t>
        </is>
      </c>
    </row>
    <row r="24">
      <c r="A24" s="12" t="inlineStr">
        <is>
          <t>3.04</t>
        </is>
      </c>
      <c r="B24" s="13" t="inlineStr">
        <is>
          <t>GT2 idler, toothed</t>
        </is>
      </c>
      <c r="C24" s="13" t="inlineStr">
        <is>
          <t>20T, 5 mm bore, 6 mm belt</t>
        </is>
      </c>
      <c r="D24" s="12" t="n">
        <v>8</v>
      </c>
      <c r="E24" s="12" t="n">
        <v>8</v>
      </c>
      <c r="F24" s="13" t="inlineStr">
        <is>
          <t>X/Y idlers, Y left/right, motor mounts</t>
        </is>
      </c>
      <c r="G24" s="13" t="n"/>
      <c r="H24" s="12" t="inlineStr">
        <is>
          <t>–</t>
        </is>
      </c>
      <c r="I24" s="12" t="inlineStr">
        <is>
          <t>Search links only</t>
        </is>
      </c>
      <c r="J24" s="14" t="inlineStr">
        <is>
          <t>eBay</t>
        </is>
      </c>
      <c r="K24" s="14" t="inlineStr">
        <is>
          <t>Amazon</t>
        </is>
      </c>
      <c r="L24" s="14" t="inlineStr">
        <is>
          <t>AliExpress</t>
        </is>
      </c>
      <c r="M24" s="15" t="n"/>
      <c r="N24" s="15">
        <f>IF(OR(D24="",M24=""),"",D24*M24)</f>
        <v/>
      </c>
      <c r="O24" s="16" t="inlineStr">
        <is>
          <t>OK</t>
        </is>
      </c>
      <c r="P24" s="13" t="inlineStr">
        <is>
          <t>Confirmed by you (matches old master). See smooth idler row.</t>
        </is>
      </c>
    </row>
    <row r="25">
      <c r="A25" s="12" t="inlineStr">
        <is>
          <t>3.05</t>
        </is>
      </c>
      <c r="B25" s="13" t="inlineStr">
        <is>
          <t>NEMA 17 stepper motor, bipolar</t>
        </is>
      </c>
      <c r="C25" s="13" t="inlineStr">
        <is>
          <t>42x42x37.5 mm, 1.7 A, 44 N.cm, 1.86 ohm, 3.55 mH, with connector</t>
        </is>
      </c>
      <c r="D25" s="17" t="n">
        <v>2</v>
      </c>
      <c r="E25" s="12" t="n">
        <v>2</v>
      </c>
      <c r="F25" s="13" t="inlineStr">
        <is>
          <t>X motor, Y motor</t>
        </is>
      </c>
      <c r="G25" s="13" t="inlineStr">
        <is>
          <t>Pololu (closest listing found: 42x38 mm, 1.7 A)</t>
        </is>
      </c>
      <c r="H25" s="14" t="inlineStr">
        <is>
          <t>Open page</t>
        </is>
      </c>
      <c r="I25" s="12" t="inlineStr">
        <is>
          <t>Search result (not opened)</t>
        </is>
      </c>
      <c r="J25" s="14" t="inlineStr">
        <is>
          <t>eBay</t>
        </is>
      </c>
      <c r="K25" s="14" t="inlineStr">
        <is>
          <t>Amazon</t>
        </is>
      </c>
      <c r="L25" s="14" t="inlineStr">
        <is>
          <t>AliExpress</t>
        </is>
      </c>
      <c r="M25" s="15" t="n"/>
      <c r="N25" s="15">
        <f>IF(OR(D25="",M25=""),"",D25*M25)</f>
        <v/>
      </c>
      <c r="O25" s="18" t="inlineStr">
        <is>
          <t>CHECK</t>
        </is>
      </c>
      <c r="P25" s="13" t="inlineStr">
        <is>
          <t>The Pololu 2267 matches on size and current but I did not confirm torque or resistance against your spec. 'Socketed' in the old BOM = motor needs a plug-in lead.</t>
        </is>
      </c>
    </row>
    <row r="26" ht="20" customHeight="1">
      <c r="A26" s="11" t="inlineStr">
        <is>
          <t>4  ELECTRONICS</t>
        </is>
      </c>
      <c r="B26" s="11" t="n"/>
      <c r="C26" s="11" t="n"/>
      <c r="D26" s="11" t="n"/>
      <c r="E26" s="11" t="n"/>
      <c r="F26" s="11" t="n"/>
      <c r="G26" s="11" t="n"/>
      <c r="H26" s="11" t="n"/>
      <c r="I26" s="11" t="n"/>
      <c r="J26" s="11" t="n"/>
      <c r="K26" s="11" t="n"/>
      <c r="L26" s="11" t="n"/>
      <c r="M26" s="11" t="n"/>
      <c r="N26" s="11" t="n"/>
      <c r="O26" s="11" t="n"/>
      <c r="P26" s="11" t="n"/>
    </row>
    <row r="27">
      <c r="A27" s="12" t="inlineStr">
        <is>
          <t>4.01</t>
        </is>
      </c>
      <c r="B27" s="13" t="inlineStr">
        <is>
          <t>Emerald Dingo ESP32 plotter controller (RevB)</t>
        </is>
      </c>
      <c r="C27" s="13" t="inlineStr">
        <is>
          <t>FluidNC, 2-axis, TMC2130 driver sockets, USB-C</t>
        </is>
      </c>
      <c r="D27" s="12" t="n">
        <v>1</v>
      </c>
      <c r="E27" s="12" t="n">
        <v>1</v>
      </c>
      <c r="F27" s="13" t="inlineStr">
        <is>
          <t>Electronics enclosure</t>
        </is>
      </c>
      <c r="G27" s="13" t="inlineStr">
        <is>
          <t>terrapen.xyz</t>
        </is>
      </c>
      <c r="H27" s="14" t="inlineStr">
        <is>
          <t>Open page</t>
        </is>
      </c>
      <c r="I27" s="12" t="inlineStr">
        <is>
          <t>Page opened</t>
        </is>
      </c>
      <c r="J27" s="12" t="inlineStr">
        <is>
          <t>–</t>
        </is>
      </c>
      <c r="K27" s="12" t="inlineStr">
        <is>
          <t>–</t>
        </is>
      </c>
      <c r="L27" s="12" t="inlineStr">
        <is>
          <t>–</t>
        </is>
      </c>
      <c r="M27" s="15" t="n">
        <v>35</v>
      </c>
      <c r="N27" s="15">
        <f>IF(OR(D27="",M27=""),"",D27*M27)</f>
        <v/>
      </c>
      <c r="O27" s="16" t="inlineStr">
        <is>
          <t>OK</t>
        </is>
      </c>
      <c r="P27" s="13" t="inlineStr">
        <is>
          <t>£35 base configuration (no drivers, no SD card, no Z-axis). Options on the page: drivers (2x or 3x), a Z-axis module, SD card (+£5), terraDial (+£80). Open source (schematics, KiCad and firmware on GitHub). The page doesn't mention CAN, so check how the EBB42 on the stepper head connects.</t>
        </is>
      </c>
    </row>
    <row r="28">
      <c r="A28" s="12" t="inlineStr">
        <is>
          <t>4.02</t>
        </is>
      </c>
      <c r="B28" s="13" t="inlineStr">
        <is>
          <t>TMC2130 stepper driver</t>
        </is>
      </c>
      <c r="C28" s="13" t="inlineStr">
        <is>
          <t>2 for X/Y (+1 if the Z stepper runs from this board)</t>
        </is>
      </c>
      <c r="D28" s="17" t="n">
        <v>2</v>
      </c>
      <c r="E28" s="12" t="n"/>
      <c r="F28" s="13" t="inlineStr">
        <is>
          <t>Controller</t>
        </is>
      </c>
      <c r="G28" s="13" t="inlineStr">
        <is>
          <t>terrapen.xyz (driver option on the controller page)</t>
        </is>
      </c>
      <c r="H28" s="14" t="inlineStr">
        <is>
          <t>Open page</t>
        </is>
      </c>
      <c r="I28" s="12" t="inlineStr">
        <is>
          <t>Page opened</t>
        </is>
      </c>
      <c r="J28" s="12" t="inlineStr">
        <is>
          <t>–</t>
        </is>
      </c>
      <c r="K28" s="12" t="inlineStr">
        <is>
          <t>–</t>
        </is>
      </c>
      <c r="L28" s="12" t="inlineStr">
        <is>
          <t>–</t>
        </is>
      </c>
      <c r="M28" s="15" t="n"/>
      <c r="N28" s="15">
        <f>IF(OR(D28="",M28=""),"",D28*M28)</f>
        <v/>
      </c>
      <c r="O28" s="19" t="inlineStr">
        <is>
          <t>NEW</t>
        </is>
      </c>
      <c r="P28" s="13" t="inlineStr">
        <is>
          <t>The board has TMC2130 sockets but ships without drivers. Buy the 2x or 3x driver option on the controller page, or source TMC2130 modules elsewhere. Not in the old BOM. The repo doesn't say whether Z is driven from this board or from the EBB42.</t>
        </is>
      </c>
    </row>
    <row r="29">
      <c r="A29" s="12" t="inlineStr">
        <is>
          <t>4.03</t>
        </is>
      </c>
      <c r="B29" s="13" t="inlineStr">
        <is>
          <t>Micro SD card</t>
        </is>
      </c>
      <c r="C29" s="13" t="inlineStr">
        <is>
          <t>8 GB, branded</t>
        </is>
      </c>
      <c r="D29" s="12" t="n">
        <v>1</v>
      </c>
      <c r="E29" s="12" t="n">
        <v>1</v>
      </c>
      <c r="F29" s="13" t="inlineStr">
        <is>
          <t>Controller</t>
        </is>
      </c>
      <c r="G29" s="13" t="n"/>
      <c r="H29" s="12" t="inlineStr">
        <is>
          <t>–</t>
        </is>
      </c>
      <c r="I29" s="12" t="inlineStr">
        <is>
          <t>Search links only</t>
        </is>
      </c>
      <c r="J29" s="14" t="inlineStr">
        <is>
          <t>eBay</t>
        </is>
      </c>
      <c r="K29" s="14" t="inlineStr">
        <is>
          <t>Amazon</t>
        </is>
      </c>
      <c r="L29" s="14" t="inlineStr">
        <is>
          <t>AliExpress</t>
        </is>
      </c>
      <c r="M29" s="15" t="n"/>
      <c r="N29" s="15">
        <f>IF(OR(D29="",M29=""),"",D29*M29)</f>
        <v/>
      </c>
      <c r="O29" s="16" t="inlineStr">
        <is>
          <t>OK</t>
        </is>
      </c>
      <c r="P29" s="13" t="inlineStr">
        <is>
          <t>The terrapen.xyz controller page also offers an SD card option (+£5).</t>
        </is>
      </c>
    </row>
    <row r="30" ht="20" customHeight="1">
      <c r="A30" s="12" t="inlineStr">
        <is>
          <t>4.04</t>
        </is>
      </c>
      <c r="B30" s="13" t="inlineStr">
        <is>
          <t>Power supply, 12 V dc</t>
        </is>
      </c>
      <c r="C30" s="13" t="inlineStr">
        <is>
          <t>2 A, barrel jack to match board</t>
        </is>
      </c>
      <c r="D30" s="17" t="n">
        <v>1</v>
      </c>
      <c r="E30" s="12" t="n">
        <v>1</v>
      </c>
      <c r="F30" s="13" t="inlineStr">
        <is>
          <t>Power</t>
        </is>
      </c>
      <c r="G30" s="13" t="n"/>
      <c r="H30" s="12" t="inlineStr">
        <is>
          <t>–</t>
        </is>
      </c>
      <c r="I30" s="12" t="inlineStr">
        <is>
          <t>Search links only</t>
        </is>
      </c>
      <c r="J30" s="14" t="inlineStr">
        <is>
          <t>eBay</t>
        </is>
      </c>
      <c r="K30" s="14" t="inlineStr">
        <is>
          <t>Amazon</t>
        </is>
      </c>
      <c r="L30" s="14" t="inlineStr">
        <is>
          <t>AliExpress</t>
        </is>
      </c>
      <c r="M30" s="15" t="n"/>
      <c r="N30" s="15">
        <f>IF(OR(D30="",M30=""),"",D30*M30)</f>
        <v/>
      </c>
      <c r="O30" s="18" t="inlineStr">
        <is>
          <t>CHECK</t>
        </is>
      </c>
      <c r="P30" s="13" t="inlineStr">
        <is>
          <t>2 A is about 24 W: tight for two 1.7 A motors plus the NEMA 14 and controller at full current. Consider 12 V 3-5 A. CAD shows a CUI PJ-063BH jack, so confirm the plug size.</t>
        </is>
      </c>
    </row>
    <row r="31">
      <c r="A31" s="12" t="inlineStr">
        <is>
          <t>4.05</t>
        </is>
      </c>
      <c r="B31" s="13" t="inlineStr">
        <is>
          <t>Motor cable, 4-way</t>
        </is>
      </c>
      <c r="C31" s="13" t="inlineStr">
        <is>
          <t>4-core PVC cable, 26 AWG, 750 mm, JST PH 2.0</t>
        </is>
      </c>
      <c r="D31" s="12" t="n">
        <v>1</v>
      </c>
      <c r="E31" s="12" t="n"/>
      <c r="F31" s="13" t="inlineStr">
        <is>
          <t>X motor</t>
        </is>
      </c>
      <c r="G31" s="13" t="n"/>
      <c r="H31" s="12" t="inlineStr">
        <is>
          <t>–</t>
        </is>
      </c>
      <c r="I31" s="12" t="inlineStr">
        <is>
          <t>Search links only</t>
        </is>
      </c>
      <c r="J31" s="14" t="inlineStr">
        <is>
          <t>eBay</t>
        </is>
      </c>
      <c r="K31" s="14" t="inlineStr">
        <is>
          <t>Amazon</t>
        </is>
      </c>
      <c r="L31" s="14" t="inlineStr">
        <is>
          <t>AliExpress</t>
        </is>
      </c>
      <c r="M31" s="15" t="n"/>
      <c r="N31" s="15">
        <f>IF(OR(D31="",M31=""),"",D31*M31)</f>
        <v/>
      </c>
      <c r="O31" s="16" t="inlineStr">
        <is>
          <t>OK</t>
        </is>
      </c>
      <c r="P31" s="13" t="inlineStr">
        <is>
          <t>Missing from the old master. Built from 4-core 26 AWG PVC cable (26 AWG suits JST PH contacts; the old '16 AWG' was wrong). Connector housings and crimps aren't listed separately; see the JST PH row.</t>
        </is>
      </c>
    </row>
    <row r="32">
      <c r="A32" s="12" t="inlineStr">
        <is>
          <t>4.06</t>
        </is>
      </c>
      <c r="B32" s="13" t="inlineStr">
        <is>
          <t>Motor cable, 4-way</t>
        </is>
      </c>
      <c r="C32" s="13" t="inlineStr">
        <is>
          <t>4-core PVC cable, 26 AWG, 500 mm, JST PH 2.0</t>
        </is>
      </c>
      <c r="D32" s="12" t="n">
        <v>1</v>
      </c>
      <c r="E32" s="12" t="n"/>
      <c r="F32" s="13" t="inlineStr">
        <is>
          <t>Y motor</t>
        </is>
      </c>
      <c r="G32" s="13" t="n"/>
      <c r="H32" s="12" t="inlineStr">
        <is>
          <t>–</t>
        </is>
      </c>
      <c r="I32" s="12" t="inlineStr">
        <is>
          <t>Search links only</t>
        </is>
      </c>
      <c r="J32" s="14" t="inlineStr">
        <is>
          <t>eBay</t>
        </is>
      </c>
      <c r="K32" s="14" t="inlineStr">
        <is>
          <t>Amazon</t>
        </is>
      </c>
      <c r="L32" s="14" t="inlineStr">
        <is>
          <t>AliExpress</t>
        </is>
      </c>
      <c r="M32" s="15" t="n"/>
      <c r="N32" s="15">
        <f>IF(OR(D32="",M32=""),"",D32*M32)</f>
        <v/>
      </c>
      <c r="O32" s="16" t="inlineStr">
        <is>
          <t>OK</t>
        </is>
      </c>
      <c r="P32" s="13" t="inlineStr">
        <is>
          <t>As above.</t>
        </is>
      </c>
    </row>
    <row r="33">
      <c r="A33" s="12" t="inlineStr">
        <is>
          <t>4.07</t>
        </is>
      </c>
      <c r="B33" s="13" t="inlineStr">
        <is>
          <t>Hook-up wire, Alpha Wire 3049 BK001</t>
        </is>
      </c>
      <c r="C33" s="13" t="inlineStr">
        <is>
          <t>26 AWG PVC black, 7 x 34 tinned stranded, 300 V, 1000 ft reel (order code 01-5540)</t>
        </is>
      </c>
      <c r="D33" s="17" t="n">
        <v>1</v>
      </c>
      <c r="E33" s="12" t="n"/>
      <c r="F33" s="13" t="inlineStr">
        <is>
          <t>Wiring</t>
        </is>
      </c>
      <c r="G33" s="13" t="inlineStr">
        <is>
          <t>Rapid Electronics</t>
        </is>
      </c>
      <c r="H33" s="14" t="inlineStr">
        <is>
          <t>Open page</t>
        </is>
      </c>
      <c r="I33" s="12" t="inlineStr">
        <is>
          <t>Page opened</t>
        </is>
      </c>
      <c r="J33" s="12" t="inlineStr">
        <is>
          <t>–</t>
        </is>
      </c>
      <c r="K33" s="12" t="inlineStr">
        <is>
          <t>–</t>
        </is>
      </c>
      <c r="L33" s="12" t="inlineStr">
        <is>
          <t>–</t>
        </is>
      </c>
      <c r="M33" s="15" t="n">
        <v>90.45999999999999</v>
      </c>
      <c r="N33" s="15">
        <f>IF(OR(D33="",M33=""),"",D33*M33)</f>
        <v/>
      </c>
      <c r="O33" s="19" t="inlineStr">
        <is>
          <t>NEW</t>
        </is>
      </c>
      <c r="P33" s="13" t="inlineStr">
        <is>
          <t>£90.46 per reel, in stock (6) when checked; more would be a 7-week lead time. A full reel is far more than one build needs; skip it if you already have one.</t>
        </is>
      </c>
    </row>
    <row r="34">
      <c r="A34" s="12" t="inlineStr">
        <is>
          <t>4.08</t>
        </is>
      </c>
      <c r="B34" s="13" t="inlineStr">
        <is>
          <t>Multicore cable, 4-core PVC</t>
        </is>
      </c>
      <c r="C34" s="13" t="inlineStr">
        <is>
          <t>26 AWG; about 1.25 m for the X and Y motor leads, plus spare</t>
        </is>
      </c>
      <c r="D34" s="17" t="n"/>
      <c r="E34" s="12" t="n"/>
      <c r="F34" s="13" t="inlineStr">
        <is>
          <t>X and Y motors</t>
        </is>
      </c>
      <c r="G34" s="13" t="inlineStr">
        <is>
          <t>Any seller</t>
        </is>
      </c>
      <c r="H34" s="12" t="inlineStr">
        <is>
          <t>–</t>
        </is>
      </c>
      <c r="I34" s="12" t="inlineStr">
        <is>
          <t>Search links only</t>
        </is>
      </c>
      <c r="J34" s="14" t="inlineStr">
        <is>
          <t>eBay</t>
        </is>
      </c>
      <c r="K34" s="14" t="inlineStr">
        <is>
          <t>Amazon</t>
        </is>
      </c>
      <c r="L34" s="14" t="inlineStr">
        <is>
          <t>AliExpress</t>
        </is>
      </c>
      <c r="M34" s="15" t="n"/>
      <c r="N34" s="15">
        <f>IF(OR(D34="",M34=""),"",D34*M34)</f>
        <v/>
      </c>
      <c r="O34" s="18" t="inlineStr">
        <is>
          <t>CHECK</t>
        </is>
      </c>
      <c r="P34" s="13" t="inlineStr">
        <is>
          <t>You've moved to 3- and 4-core 26 AWG PVC cable. Set the length you buy.</t>
        </is>
      </c>
    </row>
    <row r="35" ht="20" customHeight="1">
      <c r="A35" s="12" t="inlineStr">
        <is>
          <t>4.09</t>
        </is>
      </c>
      <c r="B35" s="13" t="inlineStr">
        <is>
          <t>Multicore cable, 3-core PVC</t>
        </is>
      </c>
      <c r="C35" s="13" t="inlineStr">
        <is>
          <t>26 AWG; length to confirm</t>
        </is>
      </c>
      <c r="D35" s="17" t="n"/>
      <c r="E35" s="12" t="n"/>
      <c r="F35" s="13" t="inlineStr">
        <is>
          <t>Endstops (assumed)</t>
        </is>
      </c>
      <c r="G35" s="13" t="inlineStr">
        <is>
          <t>Any seller</t>
        </is>
      </c>
      <c r="H35" s="12" t="inlineStr">
        <is>
          <t>–</t>
        </is>
      </c>
      <c r="I35" s="12" t="inlineStr">
        <is>
          <t>Search links only</t>
        </is>
      </c>
      <c r="J35" s="14" t="inlineStr">
        <is>
          <t>eBay</t>
        </is>
      </c>
      <c r="K35" s="14" t="inlineStr">
        <is>
          <t>Amazon</t>
        </is>
      </c>
      <c r="L35" s="14" t="inlineStr">
        <is>
          <t>AliExpress</t>
        </is>
      </c>
      <c r="M35" s="15" t="n"/>
      <c r="N35" s="15">
        <f>IF(OR(D35="",M35=""),"",D35*M35)</f>
        <v/>
      </c>
      <c r="O35" s="18" t="inlineStr">
        <is>
          <t>CHECK</t>
        </is>
      </c>
      <c r="P35" s="13" t="inlineStr">
        <is>
          <t>I've assumed the 3-core is for the endstop leads (3-pin SIG/GND/VCC). Confirm where it's used and the length.</t>
        </is>
      </c>
    </row>
    <row r="36">
      <c r="A36" s="12" t="inlineStr">
        <is>
          <t>4.10</t>
        </is>
      </c>
      <c r="B36" s="13" t="inlineStr">
        <is>
          <t>JST PH 2.0 connector kit</t>
        </is>
      </c>
      <c r="C36" s="13" t="inlineStr">
        <is>
          <t>Housings (3 and 4 way) + crimp contacts</t>
        </is>
      </c>
      <c r="D36" s="17" t="n"/>
      <c r="E36" s="12" t="n"/>
      <c r="F36" s="13" t="inlineStr">
        <is>
          <t>All head and motor leads</t>
        </is>
      </c>
      <c r="G36" s="13" t="inlineStr">
        <is>
          <t>Any seller</t>
        </is>
      </c>
      <c r="H36" s="12" t="inlineStr">
        <is>
          <t>–</t>
        </is>
      </c>
      <c r="I36" s="12" t="inlineStr">
        <is>
          <t>Search links only</t>
        </is>
      </c>
      <c r="J36" s="14" t="inlineStr">
        <is>
          <t>eBay</t>
        </is>
      </c>
      <c r="K36" s="14" t="inlineStr">
        <is>
          <t>Amazon</t>
        </is>
      </c>
      <c r="L36" s="14" t="inlineStr">
        <is>
          <t>AliExpress</t>
        </is>
      </c>
      <c r="M36" s="15" t="n"/>
      <c r="N36" s="15">
        <f>IF(OR(D36="",M36=""),"",D36*M36)</f>
        <v/>
      </c>
      <c r="O36" s="18" t="inlineStr">
        <is>
          <t>CHECK</t>
        </is>
      </c>
      <c r="P36" s="13" t="inlineStr">
        <is>
          <t>Not in the old BOM. You make your own leads, so you need housings and crimps; set the counts.</t>
        </is>
      </c>
    </row>
    <row r="37">
      <c r="A37" s="12" t="inlineStr">
        <is>
          <t>4.11</t>
        </is>
      </c>
      <c r="B37" s="13" t="inlineStr">
        <is>
          <t>Optical endstop</t>
        </is>
      </c>
      <c r="C37" s="13" t="inlineStr">
        <is>
          <t>3-pin module (SIG / GND / VCC)</t>
        </is>
      </c>
      <c r="D37" s="17" t="n">
        <v>2</v>
      </c>
      <c r="E37" s="12" t="n"/>
      <c r="F37" s="13" t="inlineStr">
        <is>
          <t>X and Y limits</t>
        </is>
      </c>
      <c r="G37" s="13" t="inlineStr">
        <is>
          <t>Ooznest (SKU ESTOP-O)</t>
        </is>
      </c>
      <c r="H37" s="14" t="inlineStr">
        <is>
          <t>Open page</t>
        </is>
      </c>
      <c r="I37" s="12" t="inlineStr">
        <is>
          <t>Page opened</t>
        </is>
      </c>
      <c r="J37" s="14" t="inlineStr">
        <is>
          <t>eBay</t>
        </is>
      </c>
      <c r="K37" s="14" t="inlineStr">
        <is>
          <t>Amazon</t>
        </is>
      </c>
      <c r="L37" s="14" t="inlineStr">
        <is>
          <t>AliExpress</t>
        </is>
      </c>
      <c r="M37" s="15" t="n">
        <v>2.5</v>
      </c>
      <c r="N37" s="15">
        <f>IF(OR(D37="",M37=""),"",D37*M37)</f>
        <v/>
      </c>
      <c r="O37" s="19" t="inlineStr">
        <is>
          <t>NEW</t>
        </is>
      </c>
      <c r="P37" s="13" t="inlineStr">
        <is>
          <t>£2.50 each inc VAT (clearance, 187 in stock when checked; sale ends 22 Nov). Voltage and signal logic aren't on the page, so check against your controller. Not in the old BOM; the CAD and STLs show X and Y endstops. Confirm quantity.</t>
        </is>
      </c>
    </row>
    <row r="38">
      <c r="A38" s="12" t="inlineStr">
        <is>
          <t>4.12</t>
        </is>
      </c>
      <c r="B38" s="13" t="inlineStr">
        <is>
          <t>Nylon standoff</t>
        </is>
      </c>
      <c r="C38" s="13" t="inlineStr">
        <is>
          <t>M3, 20 mm</t>
        </is>
      </c>
      <c r="D38" s="17" t="n">
        <v>2</v>
      </c>
      <c r="E38" s="12" t="n"/>
      <c r="F38" s="13" t="inlineStr">
        <is>
          <t>Electronics enclosure</t>
        </is>
      </c>
      <c r="G38" s="13" t="n"/>
      <c r="H38" s="12" t="inlineStr">
        <is>
          <t>–</t>
        </is>
      </c>
      <c r="I38" s="12" t="inlineStr">
        <is>
          <t>Search links only</t>
        </is>
      </c>
      <c r="J38" s="14" t="inlineStr">
        <is>
          <t>eBay</t>
        </is>
      </c>
      <c r="K38" s="14" t="inlineStr">
        <is>
          <t>Amazon</t>
        </is>
      </c>
      <c r="L38" s="14" t="inlineStr">
        <is>
          <t>AliExpress</t>
        </is>
      </c>
      <c r="M38" s="15" t="n"/>
      <c r="N38" s="15">
        <f>IF(OR(D38="",M38=""),"",D38*M38)</f>
        <v/>
      </c>
      <c r="O38" s="19" t="inlineStr">
        <is>
          <t>NEW</t>
        </is>
      </c>
      <c r="P38" s="13" t="inlineStr">
        <is>
          <t>Only appeared in the Electronics sub-assembly, not the master.</t>
        </is>
      </c>
    </row>
    <row r="39" ht="20" customHeight="1">
      <c r="A39" s="11" t="inlineStr">
        <is>
          <t>5  CABLE MANAGEMENT &amp; MISC</t>
        </is>
      </c>
      <c r="B39" s="11" t="n"/>
      <c r="C39" s="11" t="n"/>
      <c r="D39" s="11" t="n"/>
      <c r="E39" s="11" t="n"/>
      <c r="F39" s="11" t="n"/>
      <c r="G39" s="11" t="n"/>
      <c r="H39" s="11" t="n"/>
      <c r="I39" s="11" t="n"/>
      <c r="J39" s="11" t="n"/>
      <c r="K39" s="11" t="n"/>
      <c r="L39" s="11" t="n"/>
      <c r="M39" s="11" t="n"/>
      <c r="N39" s="11" t="n"/>
      <c r="O39" s="11" t="n"/>
      <c r="P39" s="11" t="n"/>
    </row>
    <row r="40">
      <c r="A40" s="12" t="inlineStr">
        <is>
          <t>5.01</t>
        </is>
      </c>
      <c r="B40" s="13" t="inlineStr">
        <is>
          <t>Cable chain</t>
        </is>
      </c>
      <c r="C40" s="13" t="inlineStr">
        <is>
          <t>7 x 7 mm inner, 1 m with end connectors</t>
        </is>
      </c>
      <c r="D40" s="12" t="n">
        <v>2</v>
      </c>
      <c r="E40" s="12" t="n">
        <v>2</v>
      </c>
      <c r="F40" s="13" t="inlineStr">
        <is>
          <t>Y right and carriage</t>
        </is>
      </c>
      <c r="G40" s="13" t="inlineStr">
        <is>
          <t>The Pi Hut</t>
        </is>
      </c>
      <c r="H40" s="14" t="inlineStr">
        <is>
          <t>Open page</t>
        </is>
      </c>
      <c r="I40" s="12" t="inlineStr">
        <is>
          <t>Page opened</t>
        </is>
      </c>
      <c r="J40" s="14" t="inlineStr">
        <is>
          <t>eBay</t>
        </is>
      </c>
      <c r="K40" s="14" t="inlineStr">
        <is>
          <t>Amazon</t>
        </is>
      </c>
      <c r="L40" s="14" t="inlineStr">
        <is>
          <t>AliExpress</t>
        </is>
      </c>
      <c r="M40" s="15" t="n">
        <v>6</v>
      </c>
      <c r="N40" s="15">
        <f>IF(OR(D40="",M40=""),"",D40*M40)</f>
        <v/>
      </c>
      <c r="O40" s="16" t="inlineStr">
        <is>
          <t>OK</t>
        </is>
      </c>
      <c r="P40" s="13" t="inlineStr">
        <is>
          <t>£6.00 per metre inc VAT, in stock when checked. Page says end connectors are included.</t>
        </is>
      </c>
    </row>
    <row r="41">
      <c r="A41" s="12" t="inlineStr">
        <is>
          <t>5.02</t>
        </is>
      </c>
      <c r="B41" s="13" t="inlineStr">
        <is>
          <t>Cable ties</t>
        </is>
      </c>
      <c r="C41" s="13" t="inlineStr">
        <is>
          <t>100 x 2.5 mm</t>
        </is>
      </c>
      <c r="D41" s="17" t="n"/>
      <c r="E41" s="12" t="n"/>
      <c r="F41" s="13" t="inlineStr">
        <is>
          <t>General</t>
        </is>
      </c>
      <c r="G41" s="13" t="n"/>
      <c r="H41" s="12" t="inlineStr">
        <is>
          <t>–</t>
        </is>
      </c>
      <c r="I41" s="12" t="inlineStr">
        <is>
          <t>Search links only</t>
        </is>
      </c>
      <c r="J41" s="14" t="inlineStr">
        <is>
          <t>eBay</t>
        </is>
      </c>
      <c r="K41" s="14" t="inlineStr">
        <is>
          <t>Amazon</t>
        </is>
      </c>
      <c r="L41" s="14" t="inlineStr">
        <is>
          <t>AliExpress</t>
        </is>
      </c>
      <c r="M41" s="15" t="n"/>
      <c r="N41" s="15">
        <f>IF(OR(D41="",M41=""),"",D41*M41)</f>
        <v/>
      </c>
      <c r="O41" s="18" t="inlineStr">
        <is>
          <t>CHECK</t>
        </is>
      </c>
      <c r="P41" s="13" t="inlineStr">
        <is>
          <t>No quantity in the old BOM. Add one (a 100 pack is plenty).</t>
        </is>
      </c>
    </row>
    <row r="42">
      <c r="A42" s="12" t="inlineStr">
        <is>
          <t>5.03</t>
        </is>
      </c>
      <c r="B42" s="13" t="inlineStr">
        <is>
          <t>Hex key set</t>
        </is>
      </c>
      <c r="C42" s="13" t="inlineStr">
        <is>
          <t>1.5 / 2 / 2.5 / 3 / 4 mm</t>
        </is>
      </c>
      <c r="D42" s="17" t="n">
        <v>1</v>
      </c>
      <c r="E42" s="12" t="n"/>
      <c r="F42" s="13" t="inlineStr">
        <is>
          <t>Assembly (tool)</t>
        </is>
      </c>
      <c r="G42" s="13" t="n"/>
      <c r="H42" s="12" t="inlineStr">
        <is>
          <t>–</t>
        </is>
      </c>
      <c r="I42" s="12" t="inlineStr">
        <is>
          <t>Search links only</t>
        </is>
      </c>
      <c r="J42" s="14" t="inlineStr">
        <is>
          <t>eBay</t>
        </is>
      </c>
      <c r="K42" s="14" t="inlineStr">
        <is>
          <t>Amazon</t>
        </is>
      </c>
      <c r="L42" s="14" t="inlineStr">
        <is>
          <t>AliExpress</t>
        </is>
      </c>
      <c r="M42" s="15" t="n"/>
      <c r="N42" s="15">
        <f>IF(OR(D42="",M42=""),"",D42*M42)</f>
        <v/>
      </c>
      <c r="O42" s="20" t="inlineStr">
        <is>
          <t>CHANGED</t>
        </is>
      </c>
      <c r="P42" s="13" t="inlineStr">
        <is>
          <t>Old BOM listed 1.27, 2 and 3 mm keys. The screws here need 1.5 (M2), 2 (M3 countersunk/button), 2.5 (M3 socket), 3 (M5 countersunk/button) and 4 mm (M5 socket).</t>
        </is>
      </c>
    </row>
    <row r="43" ht="20" customHeight="1">
      <c r="A43" s="11" t="inlineStr">
        <is>
          <t>6  FASTENERS – M2</t>
        </is>
      </c>
      <c r="B43" s="11" t="n"/>
      <c r="C43" s="11" t="n"/>
      <c r="D43" s="11" t="n"/>
      <c r="E43" s="11" t="n"/>
      <c r="F43" s="11" t="n"/>
      <c r="G43" s="11" t="n"/>
      <c r="H43" s="11" t="n"/>
      <c r="I43" s="11" t="n"/>
      <c r="J43" s="11" t="n"/>
      <c r="K43" s="11" t="n"/>
      <c r="L43" s="11" t="n"/>
      <c r="M43" s="11" t="n"/>
      <c r="N43" s="11" t="n"/>
      <c r="O43" s="11" t="n"/>
      <c r="P43" s="11" t="n"/>
    </row>
    <row r="44">
      <c r="A44" s="12" t="inlineStr">
        <is>
          <t>6.01</t>
        </is>
      </c>
      <c r="B44" s="13" t="inlineStr">
        <is>
          <t>Socket head screw</t>
        </is>
      </c>
      <c r="C44" s="13" t="inlineStr">
        <is>
          <t>M2 x 5, self colour, hex socket</t>
        </is>
      </c>
      <c r="D44" s="17" t="n">
        <v>4</v>
      </c>
      <c r="E44" s="12" t="n">
        <v>4</v>
      </c>
      <c r="F44" s="13" t="inlineStr">
        <is>
          <t>Tool head</t>
        </is>
      </c>
      <c r="G44" s="13" t="inlineStr">
        <is>
          <t>Allfix</t>
        </is>
      </c>
      <c r="H44" s="14" t="inlineStr">
        <is>
          <t>Allfix search</t>
        </is>
      </c>
      <c r="I44" s="12" t="inlineStr">
        <is>
          <t>Search link only</t>
        </is>
      </c>
      <c r="J44" s="12" t="inlineStr">
        <is>
          <t>–</t>
        </is>
      </c>
      <c r="K44" s="12" t="inlineStr">
        <is>
          <t>–</t>
        </is>
      </c>
      <c r="L44" s="12" t="inlineStr">
        <is>
          <t>–</t>
        </is>
      </c>
      <c r="M44" s="15" t="n"/>
      <c r="N44" s="15">
        <f>IF(OR(D44="",M44=""),"",D44*M44)</f>
        <v/>
      </c>
      <c r="O44" s="18" t="inlineStr">
        <is>
          <t>CHECK</t>
        </is>
      </c>
      <c r="P44" s="13" t="inlineStr">
        <is>
          <t>Used by the old tool head (rail to bracket); recount for the stepper head.</t>
        </is>
      </c>
    </row>
    <row r="45">
      <c r="A45" s="12" t="inlineStr">
        <is>
          <t>6.02</t>
        </is>
      </c>
      <c r="B45" s="13" t="inlineStr">
        <is>
          <t>Countersunk screw</t>
        </is>
      </c>
      <c r="C45" s="13" t="inlineStr">
        <is>
          <t>M2 x 6, self colour, hex socket</t>
        </is>
      </c>
      <c r="D45" s="17" t="n">
        <v>4</v>
      </c>
      <c r="E45" s="12" t="n">
        <v>4</v>
      </c>
      <c r="F45" s="13" t="inlineStr">
        <is>
          <t>Tool head – pen holder to block</t>
        </is>
      </c>
      <c r="G45" s="13" t="inlineStr">
        <is>
          <t>Allfix</t>
        </is>
      </c>
      <c r="H45" s="14" t="inlineStr">
        <is>
          <t>Allfix search</t>
        </is>
      </c>
      <c r="I45" s="12" t="inlineStr">
        <is>
          <t>Search link only</t>
        </is>
      </c>
      <c r="J45" s="12" t="inlineStr">
        <is>
          <t>–</t>
        </is>
      </c>
      <c r="K45" s="12" t="inlineStr">
        <is>
          <t>–</t>
        </is>
      </c>
      <c r="L45" s="12" t="inlineStr">
        <is>
          <t>–</t>
        </is>
      </c>
      <c r="M45" s="15" t="n"/>
      <c r="N45" s="15">
        <f>IF(OR(D45="",M45=""),"",D45*M45)</f>
        <v/>
      </c>
      <c r="O45" s="18" t="inlineStr">
        <is>
          <t>CHECK</t>
        </is>
      </c>
      <c r="P45" s="13" t="inlineStr">
        <is>
          <t>Old master says 5 mm, the tool-head block says 6 mm. Recount for the stepper head.</t>
        </is>
      </c>
    </row>
    <row r="46">
      <c r="A46" s="12" t="inlineStr">
        <is>
          <t>6.03</t>
        </is>
      </c>
      <c r="B46" s="13" t="inlineStr">
        <is>
          <t>Heat-set insert</t>
        </is>
      </c>
      <c r="C46" s="13" t="inlineStr">
        <is>
          <t>M2 (length to confirm)</t>
        </is>
      </c>
      <c r="D46" s="17" t="n">
        <v>4</v>
      </c>
      <c r="E46" s="12" t="n">
        <v>4</v>
      </c>
      <c r="F46" s="13" t="inlineStr">
        <is>
          <t>Tool head</t>
        </is>
      </c>
      <c r="G46" s="13" t="n"/>
      <c r="H46" s="12" t="inlineStr">
        <is>
          <t>–</t>
        </is>
      </c>
      <c r="I46" s="12" t="inlineStr">
        <is>
          <t>Search links only</t>
        </is>
      </c>
      <c r="J46" s="14" t="inlineStr">
        <is>
          <t>eBay</t>
        </is>
      </c>
      <c r="K46" s="14" t="inlineStr">
        <is>
          <t>Amazon</t>
        </is>
      </c>
      <c r="L46" s="14" t="inlineStr">
        <is>
          <t>AliExpress</t>
        </is>
      </c>
      <c r="M46" s="15" t="n"/>
      <c r="N46" s="15">
        <f>IF(OR(D46="",M46=""),"",D46*M46)</f>
        <v/>
      </c>
      <c r="O46" s="18" t="inlineStr">
        <is>
          <t>CHECK</t>
        </is>
      </c>
      <c r="P46" s="13" t="inlineStr">
        <is>
          <t>Old master says m2x3; tool-head block says m2x6. Confirm length and recount for the stepper head.</t>
        </is>
      </c>
    </row>
    <row r="47" ht="20" customHeight="1">
      <c r="A47" s="11" t="inlineStr">
        <is>
          <t>7  FASTENERS – M3</t>
        </is>
      </c>
      <c r="B47" s="11" t="n"/>
      <c r="C47" s="11" t="n"/>
      <c r="D47" s="11" t="n"/>
      <c r="E47" s="11" t="n"/>
      <c r="F47" s="11" t="n"/>
      <c r="G47" s="11" t="n"/>
      <c r="H47" s="11" t="n"/>
      <c r="I47" s="11" t="n"/>
      <c r="J47" s="11" t="n"/>
      <c r="K47" s="11" t="n"/>
      <c r="L47" s="11" t="n"/>
      <c r="M47" s="11" t="n"/>
      <c r="N47" s="11" t="n"/>
      <c r="O47" s="11" t="n"/>
      <c r="P47" s="11" t="n"/>
    </row>
    <row r="48">
      <c r="A48" s="12" t="inlineStr">
        <is>
          <t>7.01</t>
        </is>
      </c>
      <c r="B48" s="13" t="inlineStr">
        <is>
          <t>Countersunk screw</t>
        </is>
      </c>
      <c r="C48" s="13" t="inlineStr">
        <is>
          <t>M3 x 5, self colour, hex socket</t>
        </is>
      </c>
      <c r="D48" s="17" t="n">
        <v>11</v>
      </c>
      <c r="E48" s="12" t="n">
        <v>10</v>
      </c>
      <c r="F48" s="13" t="inlineStr">
        <is>
          <t>Y right, carriage, tool head</t>
        </is>
      </c>
      <c r="G48" s="13" t="inlineStr">
        <is>
          <t>Allfix</t>
        </is>
      </c>
      <c r="H48" s="14" t="inlineStr">
        <is>
          <t>Allfix search</t>
        </is>
      </c>
      <c r="I48" s="12" t="inlineStr">
        <is>
          <t>Search link only</t>
        </is>
      </c>
      <c r="J48" s="12" t="inlineStr">
        <is>
          <t>–</t>
        </is>
      </c>
      <c r="K48" s="12" t="inlineStr">
        <is>
          <t>–</t>
        </is>
      </c>
      <c r="L48" s="12" t="inlineStr">
        <is>
          <t>–</t>
        </is>
      </c>
      <c r="M48" s="15" t="n"/>
      <c r="N48" s="15">
        <f>IF(OR(D48="",M48=""),"",D48*M48)</f>
        <v/>
      </c>
      <c r="O48" s="18" t="inlineStr">
        <is>
          <t>CHECK</t>
        </is>
      </c>
      <c r="P48" s="13" t="inlineStr">
        <is>
          <t>4 of the 11 were used on the old tool head; recount for the stepper head.</t>
        </is>
      </c>
    </row>
    <row r="49">
      <c r="A49" s="12" t="inlineStr">
        <is>
          <t>7.02</t>
        </is>
      </c>
      <c r="B49" s="13" t="inlineStr">
        <is>
          <t>Countersunk screw</t>
        </is>
      </c>
      <c r="C49" s="13" t="inlineStr">
        <is>
          <t>M3 x 6, self colour, hex socket</t>
        </is>
      </c>
      <c r="D49" s="17" t="n">
        <v>21</v>
      </c>
      <c r="E49" s="12" t="n">
        <v>31</v>
      </c>
      <c r="F49" s="13" t="inlineStr">
        <is>
          <t>Y left/right, carriage, tool head, electronics</t>
        </is>
      </c>
      <c r="G49" s="13" t="inlineStr">
        <is>
          <t>Allfix</t>
        </is>
      </c>
      <c r="H49" s="14" t="inlineStr">
        <is>
          <t>Allfix search</t>
        </is>
      </c>
      <c r="I49" s="12" t="inlineStr">
        <is>
          <t>Search link only</t>
        </is>
      </c>
      <c r="J49" s="12" t="inlineStr">
        <is>
          <t>–</t>
        </is>
      </c>
      <c r="K49" s="12" t="inlineStr">
        <is>
          <t>–</t>
        </is>
      </c>
      <c r="L49" s="12" t="inlineStr">
        <is>
          <t>–</t>
        </is>
      </c>
      <c r="M49" s="15" t="n"/>
      <c r="N49" s="15">
        <f>IF(OR(D49="",M49=""),"",D49*M49)</f>
        <v/>
      </c>
      <c r="O49" s="20" t="inlineStr">
        <is>
          <t>CHANGED</t>
        </is>
      </c>
      <c r="P49" s="13" t="inlineStr">
        <is>
          <t>Old master had 10 more than the sub-assemblies use.</t>
        </is>
      </c>
    </row>
    <row r="50">
      <c r="A50" s="12" t="inlineStr">
        <is>
          <t>7.03</t>
        </is>
      </c>
      <c r="B50" s="13" t="inlineStr">
        <is>
          <t>Countersunk screw</t>
        </is>
      </c>
      <c r="C50" s="13" t="inlineStr">
        <is>
          <t>M3 x 8, self colour, hex socket</t>
        </is>
      </c>
      <c r="D50" s="17" t="n">
        <v>2</v>
      </c>
      <c r="E50" s="12" t="n">
        <v>4</v>
      </c>
      <c r="F50" s="13" t="inlineStr">
        <is>
          <t>Y right</t>
        </is>
      </c>
      <c r="G50" s="13" t="inlineStr">
        <is>
          <t>Allfix</t>
        </is>
      </c>
      <c r="H50" s="14" t="inlineStr">
        <is>
          <t>Allfix search</t>
        </is>
      </c>
      <c r="I50" s="12" t="inlineStr">
        <is>
          <t>Search link only</t>
        </is>
      </c>
      <c r="J50" s="12" t="inlineStr">
        <is>
          <t>–</t>
        </is>
      </c>
      <c r="K50" s="12" t="inlineStr">
        <is>
          <t>–</t>
        </is>
      </c>
      <c r="L50" s="12" t="inlineStr">
        <is>
          <t>–</t>
        </is>
      </c>
      <c r="M50" s="15" t="n"/>
      <c r="N50" s="15">
        <f>IF(OR(D50="",M50=""),"",D50*M50)</f>
        <v/>
      </c>
      <c r="O50" s="20" t="inlineStr">
        <is>
          <t>CHANGED</t>
        </is>
      </c>
      <c r="P50" s="13" t="n"/>
    </row>
    <row r="51">
      <c r="A51" s="12" t="inlineStr">
        <is>
          <t>7.04</t>
        </is>
      </c>
      <c r="B51" s="13" t="inlineStr">
        <is>
          <t>Countersunk screw</t>
        </is>
      </c>
      <c r="C51" s="13" t="inlineStr">
        <is>
          <t>M3 x 12, self colour, hex socket</t>
        </is>
      </c>
      <c r="D51" s="17" t="n">
        <v>4</v>
      </c>
      <c r="E51" s="12" t="n"/>
      <c r="F51" s="13" t="inlineStr">
        <is>
          <t>X/Y motor bracket clamp</t>
        </is>
      </c>
      <c r="G51" s="13" t="inlineStr">
        <is>
          <t>Allfix</t>
        </is>
      </c>
      <c r="H51" s="14" t="inlineStr">
        <is>
          <t>Allfix search</t>
        </is>
      </c>
      <c r="I51" s="12" t="inlineStr">
        <is>
          <t>Search link only</t>
        </is>
      </c>
      <c r="J51" s="12" t="inlineStr">
        <is>
          <t>–</t>
        </is>
      </c>
      <c r="K51" s="12" t="inlineStr">
        <is>
          <t>–</t>
        </is>
      </c>
      <c r="L51" s="12" t="inlineStr">
        <is>
          <t>–</t>
        </is>
      </c>
      <c r="M51" s="15" t="n"/>
      <c r="N51" s="15">
        <f>IF(OR(D51="",M51=""),"",D51*M51)</f>
        <v/>
      </c>
      <c r="O51" s="19" t="inlineStr">
        <is>
          <t>NEW</t>
        </is>
      </c>
      <c r="P51" s="13" t="n"/>
    </row>
    <row r="52">
      <c r="A52" s="12" t="inlineStr">
        <is>
          <t>7.05</t>
        </is>
      </c>
      <c r="B52" s="13" t="inlineStr">
        <is>
          <t>Countersunk screw</t>
        </is>
      </c>
      <c r="C52" s="13" t="inlineStr">
        <is>
          <t>M3 x 20, self colour, hex socket</t>
        </is>
      </c>
      <c r="D52" s="17" t="n">
        <v>2</v>
      </c>
      <c r="E52" s="12" t="n"/>
      <c r="F52" s="13" t="inlineStr">
        <is>
          <t>Y left/right bracket fixing</t>
        </is>
      </c>
      <c r="G52" s="13" t="inlineStr">
        <is>
          <t>Allfix</t>
        </is>
      </c>
      <c r="H52" s="14" t="inlineStr">
        <is>
          <t>Allfix search</t>
        </is>
      </c>
      <c r="I52" s="12" t="inlineStr">
        <is>
          <t>Search link only</t>
        </is>
      </c>
      <c r="J52" s="12" t="inlineStr">
        <is>
          <t>–</t>
        </is>
      </c>
      <c r="K52" s="12" t="inlineStr">
        <is>
          <t>–</t>
        </is>
      </c>
      <c r="L52" s="12" t="inlineStr">
        <is>
          <t>–</t>
        </is>
      </c>
      <c r="M52" s="15" t="n"/>
      <c r="N52" s="15">
        <f>IF(OR(D52="",M52=""),"",D52*M52)</f>
        <v/>
      </c>
      <c r="O52" s="19" t="inlineStr">
        <is>
          <t>NEW</t>
        </is>
      </c>
      <c r="P52" s="13" t="inlineStr">
        <is>
          <t>Old master listed M3 button x 20 (qty 2) with no matching use; assumed to be this part. Confirm head type.</t>
        </is>
      </c>
    </row>
    <row r="53">
      <c r="A53" s="12" t="inlineStr">
        <is>
          <t>7.06</t>
        </is>
      </c>
      <c r="B53" s="13" t="inlineStr">
        <is>
          <t>Countersunk screw</t>
        </is>
      </c>
      <c r="C53" s="13" t="inlineStr">
        <is>
          <t>M3 x 30, self colour, hex socket</t>
        </is>
      </c>
      <c r="D53" s="17" t="n">
        <v>4</v>
      </c>
      <c r="E53" s="12" t="n"/>
      <c r="F53" s="13" t="inlineStr">
        <is>
          <t>X/Y motor mount</t>
        </is>
      </c>
      <c r="G53" s="13" t="inlineStr">
        <is>
          <t>Allfix</t>
        </is>
      </c>
      <c r="H53" s="14" t="inlineStr">
        <is>
          <t>Allfix search</t>
        </is>
      </c>
      <c r="I53" s="12" t="inlineStr">
        <is>
          <t>Search link only</t>
        </is>
      </c>
      <c r="J53" s="12" t="inlineStr">
        <is>
          <t>–</t>
        </is>
      </c>
      <c r="K53" s="12" t="inlineStr">
        <is>
          <t>–</t>
        </is>
      </c>
      <c r="L53" s="12" t="inlineStr">
        <is>
          <t>–</t>
        </is>
      </c>
      <c r="M53" s="15" t="n"/>
      <c r="N53" s="15">
        <f>IF(OR(D53="",M53=""),"",D53*M53)</f>
        <v/>
      </c>
      <c r="O53" s="19" t="inlineStr">
        <is>
          <t>NEW</t>
        </is>
      </c>
      <c r="P53" s="13" t="n"/>
    </row>
    <row r="54">
      <c r="A54" s="12" t="inlineStr">
        <is>
          <t>7.07</t>
        </is>
      </c>
      <c r="B54" s="13" t="inlineStr">
        <is>
          <t>Button head screw</t>
        </is>
      </c>
      <c r="C54" s="13" t="inlineStr">
        <is>
          <t>M3 x 6, self colour, hex socket</t>
        </is>
      </c>
      <c r="D54" s="12" t="n">
        <v>4</v>
      </c>
      <c r="E54" s="12" t="n">
        <v>4</v>
      </c>
      <c r="F54" s="13" t="inlineStr">
        <is>
          <t>Tool head, electronics</t>
        </is>
      </c>
      <c r="G54" s="13" t="inlineStr">
        <is>
          <t>Allfix</t>
        </is>
      </c>
      <c r="H54" s="14" t="inlineStr">
        <is>
          <t>Allfix search</t>
        </is>
      </c>
      <c r="I54" s="12" t="inlineStr">
        <is>
          <t>Search link only</t>
        </is>
      </c>
      <c r="J54" s="12" t="inlineStr">
        <is>
          <t>–</t>
        </is>
      </c>
      <c r="K54" s="12" t="inlineStr">
        <is>
          <t>–</t>
        </is>
      </c>
      <c r="L54" s="12" t="inlineStr">
        <is>
          <t>–</t>
        </is>
      </c>
      <c r="M54" s="15" t="n"/>
      <c r="N54" s="15">
        <f>IF(OR(D54="",M54=""),"",D54*M54)</f>
        <v/>
      </c>
      <c r="O54" s="16" t="inlineStr">
        <is>
          <t>OK</t>
        </is>
      </c>
      <c r="P54" s="13" t="n"/>
    </row>
    <row r="55">
      <c r="A55" s="12" t="inlineStr">
        <is>
          <t>7.08</t>
        </is>
      </c>
      <c r="B55" s="13" t="inlineStr">
        <is>
          <t>Button head screw</t>
        </is>
      </c>
      <c r="C55" s="13" t="inlineStr">
        <is>
          <t>M3 x 12, self colour, hex socket</t>
        </is>
      </c>
      <c r="D55" s="17" t="n">
        <v>4</v>
      </c>
      <c r="E55" s="12" t="n"/>
      <c r="F55" s="13" t="inlineStr">
        <is>
          <t>Frame – feet</t>
        </is>
      </c>
      <c r="G55" s="13" t="inlineStr">
        <is>
          <t>Allfix</t>
        </is>
      </c>
      <c r="H55" s="14" t="inlineStr">
        <is>
          <t>Allfix search</t>
        </is>
      </c>
      <c r="I55" s="12" t="inlineStr">
        <is>
          <t>Search link only</t>
        </is>
      </c>
      <c r="J55" s="12" t="inlineStr">
        <is>
          <t>–</t>
        </is>
      </c>
      <c r="K55" s="12" t="inlineStr">
        <is>
          <t>–</t>
        </is>
      </c>
      <c r="L55" s="12" t="inlineStr">
        <is>
          <t>–</t>
        </is>
      </c>
      <c r="M55" s="15" t="n"/>
      <c r="N55" s="15">
        <f>IF(OR(D55="",M55=""),"",D55*M55)</f>
        <v/>
      </c>
      <c r="O55" s="19" t="inlineStr">
        <is>
          <t>NEW</t>
        </is>
      </c>
      <c r="P55" s="13" t="n"/>
    </row>
    <row r="56">
      <c r="A56" s="12" t="inlineStr">
        <is>
          <t>7.09</t>
        </is>
      </c>
      <c r="B56" s="13" t="inlineStr">
        <is>
          <t>Button head screw</t>
        </is>
      </c>
      <c r="C56" s="13" t="inlineStr">
        <is>
          <t>M3 x 25, self colour, hex socket</t>
        </is>
      </c>
      <c r="D56" s="12" t="n">
        <v>2</v>
      </c>
      <c r="E56" s="12" t="n">
        <v>2</v>
      </c>
      <c r="F56" s="13" t="inlineStr">
        <is>
          <t>Carriage tensioner</t>
        </is>
      </c>
      <c r="G56" s="13" t="inlineStr">
        <is>
          <t>Allfix</t>
        </is>
      </c>
      <c r="H56" s="14" t="inlineStr">
        <is>
          <t>Allfix search</t>
        </is>
      </c>
      <c r="I56" s="12" t="inlineStr">
        <is>
          <t>Search link only</t>
        </is>
      </c>
      <c r="J56" s="12" t="inlineStr">
        <is>
          <t>–</t>
        </is>
      </c>
      <c r="K56" s="12" t="inlineStr">
        <is>
          <t>–</t>
        </is>
      </c>
      <c r="L56" s="12" t="inlineStr">
        <is>
          <t>–</t>
        </is>
      </c>
      <c r="M56" s="15" t="n"/>
      <c r="N56" s="15">
        <f>IF(OR(D56="",M56=""),"",D56*M56)</f>
        <v/>
      </c>
      <c r="O56" s="16" t="inlineStr">
        <is>
          <t>OK</t>
        </is>
      </c>
      <c r="P56" s="13" t="inlineStr">
        <is>
          <t>Old master description wrongly says 6 mm.</t>
        </is>
      </c>
    </row>
    <row r="57" ht="20" customHeight="1">
      <c r="A57" s="12" t="inlineStr">
        <is>
          <t>7.10</t>
        </is>
      </c>
      <c r="B57" s="13" t="inlineStr">
        <is>
          <t>Socket head screw</t>
        </is>
      </c>
      <c r="C57" s="13" t="inlineStr">
        <is>
          <t>M3 x 8, self colour, hex socket</t>
        </is>
      </c>
      <c r="D57" s="12" t="n">
        <v>12</v>
      </c>
      <c r="E57" s="12" t="n">
        <v>12</v>
      </c>
      <c r="F57" s="13" t="inlineStr">
        <is>
          <t>Frame – rails</t>
        </is>
      </c>
      <c r="G57" s="13" t="inlineStr">
        <is>
          <t>Allfix</t>
        </is>
      </c>
      <c r="H57" s="14" t="inlineStr">
        <is>
          <t>Allfix search</t>
        </is>
      </c>
      <c r="I57" s="12" t="inlineStr">
        <is>
          <t>Search link only</t>
        </is>
      </c>
      <c r="J57" s="12" t="inlineStr">
        <is>
          <t>–</t>
        </is>
      </c>
      <c r="K57" s="12" t="inlineStr">
        <is>
          <t>–</t>
        </is>
      </c>
      <c r="L57" s="12" t="inlineStr">
        <is>
          <t>–</t>
        </is>
      </c>
      <c r="M57" s="15" t="n"/>
      <c r="N57" s="15">
        <f>IF(OR(D57="",M57=""),"",D57*M57)</f>
        <v/>
      </c>
      <c r="O57" s="16" t="inlineStr">
        <is>
          <t>OK</t>
        </is>
      </c>
      <c r="P57" s="13" t="n"/>
    </row>
    <row r="58">
      <c r="A58" s="12" t="inlineStr">
        <is>
          <t>7.11</t>
        </is>
      </c>
      <c r="B58" s="13" t="inlineStr">
        <is>
          <t>Thumb screw</t>
        </is>
      </c>
      <c r="C58" s="13" t="inlineStr">
        <is>
          <t>M3 x 24</t>
        </is>
      </c>
      <c r="D58" s="17" t="n">
        <v>1</v>
      </c>
      <c r="E58" s="12" t="n">
        <v>2</v>
      </c>
      <c r="F58" s="13" t="inlineStr">
        <is>
          <t>Tool head – pen clamp</t>
        </is>
      </c>
      <c r="G58" s="13" t="n"/>
      <c r="H58" s="12" t="inlineStr">
        <is>
          <t>–</t>
        </is>
      </c>
      <c r="I58" s="12" t="inlineStr">
        <is>
          <t>Search links only</t>
        </is>
      </c>
      <c r="J58" s="14" t="inlineStr">
        <is>
          <t>eBay</t>
        </is>
      </c>
      <c r="K58" s="14" t="inlineStr">
        <is>
          <t>Amazon</t>
        </is>
      </c>
      <c r="L58" s="14" t="inlineStr">
        <is>
          <t>AliExpress</t>
        </is>
      </c>
      <c r="M58" s="15" t="n"/>
      <c r="N58" s="15">
        <f>IF(OR(D58="",M58=""),"",D58*M58)</f>
        <v/>
      </c>
      <c r="O58" s="18" t="inlineStr">
        <is>
          <t>CHECK</t>
        </is>
      </c>
      <c r="P58" s="13" t="inlineStr">
        <is>
          <t>Old master lists two (15 mm and 30 mm); the tool-head block lists one at 24 mm. The stepper head uses a TPU insert, so this may no longer be needed.</t>
        </is>
      </c>
    </row>
    <row r="59">
      <c r="A59" s="12" t="inlineStr">
        <is>
          <t>7.12</t>
        </is>
      </c>
      <c r="B59" s="13" t="inlineStr">
        <is>
          <t>Drop-in T-nut</t>
        </is>
      </c>
      <c r="C59" s="13" t="inlineStr">
        <is>
          <t>M3, 20-series</t>
        </is>
      </c>
      <c r="D59" s="17" t="n">
        <v>16</v>
      </c>
      <c r="E59" s="12" t="n">
        <v>36</v>
      </c>
      <c r="F59" s="13" t="inlineStr">
        <is>
          <t>Frame – rails and feet</t>
        </is>
      </c>
      <c r="G59" s="13" t="n"/>
      <c r="H59" s="12" t="inlineStr">
        <is>
          <t>–</t>
        </is>
      </c>
      <c r="I59" s="12" t="inlineStr">
        <is>
          <t>Search links only</t>
        </is>
      </c>
      <c r="J59" s="14" t="inlineStr">
        <is>
          <t>eBay</t>
        </is>
      </c>
      <c r="K59" s="14" t="inlineStr">
        <is>
          <t>Amazon</t>
        </is>
      </c>
      <c r="L59" s="14" t="inlineStr">
        <is>
          <t>AliExpress</t>
        </is>
      </c>
      <c r="M59" s="15" t="n"/>
      <c r="N59" s="15">
        <f>IF(OR(D59="",M59=""),"",D59*M59)</f>
        <v/>
      </c>
      <c r="O59" s="20" t="inlineStr">
        <is>
          <t>CHANGED</t>
        </is>
      </c>
      <c r="P59" s="13" t="inlineStr">
        <is>
          <t>Sub-assembly total is 16 (4 feet + 12 rails); the old master said 36. Confirm in CAD.</t>
        </is>
      </c>
    </row>
    <row r="60">
      <c r="A60" s="12" t="inlineStr">
        <is>
          <t>7.13</t>
        </is>
      </c>
      <c r="B60" s="13" t="inlineStr">
        <is>
          <t>Heat-set insert</t>
        </is>
      </c>
      <c r="C60" s="13" t="inlineStr">
        <is>
          <t>M3 x 3 mm brass</t>
        </is>
      </c>
      <c r="D60" s="12" t="n">
        <v>26</v>
      </c>
      <c r="E60" s="12" t="n">
        <v>26</v>
      </c>
      <c r="F60" s="13" t="inlineStr">
        <is>
          <t>All printed parts</t>
        </is>
      </c>
      <c r="G60" s="13" t="inlineStr">
        <is>
          <t>The Pi Hut</t>
        </is>
      </c>
      <c r="H60" s="14" t="inlineStr">
        <is>
          <t>Open page</t>
        </is>
      </c>
      <c r="I60" s="12" t="inlineStr">
        <is>
          <t>Page opened</t>
        </is>
      </c>
      <c r="J60" s="14" t="inlineStr">
        <is>
          <t>eBay</t>
        </is>
      </c>
      <c r="K60" s="14" t="inlineStr">
        <is>
          <t>Amazon</t>
        </is>
      </c>
      <c r="L60" s="14" t="inlineStr">
        <is>
          <t>AliExpress</t>
        </is>
      </c>
      <c r="M60" s="15" t="n"/>
      <c r="N60" s="15" t="n">
        <v>5.9</v>
      </c>
      <c r="O60" s="16" t="inlineStr">
        <is>
          <t>OK</t>
        </is>
      </c>
      <c r="P60" s="13" t="inlineStr">
        <is>
          <t>£5.90 for a pack of 50 inc VAT, in stock when checked. One pack covers the 26 needed with spares. 2 of the 26 were in the old tool head; recount.</t>
        </is>
      </c>
    </row>
    <row r="61" ht="20" customHeight="1">
      <c r="A61" s="11" t="inlineStr">
        <is>
          <t>8  FASTENERS – M5</t>
        </is>
      </c>
      <c r="B61" s="11" t="n"/>
      <c r="C61" s="11" t="n"/>
      <c r="D61" s="11" t="n"/>
      <c r="E61" s="11" t="n"/>
      <c r="F61" s="11" t="n"/>
      <c r="G61" s="11" t="n"/>
      <c r="H61" s="11" t="n"/>
      <c r="I61" s="11" t="n"/>
      <c r="J61" s="11" t="n"/>
      <c r="K61" s="11" t="n"/>
      <c r="L61" s="11" t="n"/>
      <c r="M61" s="11" t="n"/>
      <c r="N61" s="11" t="n"/>
      <c r="O61" s="11" t="n"/>
      <c r="P61" s="11" t="n"/>
    </row>
    <row r="62">
      <c r="A62" s="12" t="inlineStr">
        <is>
          <t>8.01</t>
        </is>
      </c>
      <c r="B62" s="13" t="inlineStr">
        <is>
          <t>Countersunk screw</t>
        </is>
      </c>
      <c r="C62" s="13" t="inlineStr">
        <is>
          <t>M5 x 8, self colour, hex socket</t>
        </is>
      </c>
      <c r="D62" s="12" t="n">
        <v>18</v>
      </c>
      <c r="E62" s="12" t="n">
        <v>18</v>
      </c>
      <c r="F62" s="13" t="inlineStr">
        <is>
          <t>Motors, idlers, Y left/right</t>
        </is>
      </c>
      <c r="G62" s="13" t="inlineStr">
        <is>
          <t>Allfix</t>
        </is>
      </c>
      <c r="H62" s="14" t="inlineStr">
        <is>
          <t>Allfix search</t>
        </is>
      </c>
      <c r="I62" s="12" t="inlineStr">
        <is>
          <t>Search link only</t>
        </is>
      </c>
      <c r="J62" s="12" t="inlineStr">
        <is>
          <t>–</t>
        </is>
      </c>
      <c r="K62" s="12" t="inlineStr">
        <is>
          <t>–</t>
        </is>
      </c>
      <c r="L62" s="12" t="inlineStr">
        <is>
          <t>–</t>
        </is>
      </c>
      <c r="M62" s="15" t="n"/>
      <c r="N62" s="15">
        <f>IF(OR(D62="",M62=""),"",D62*M62)</f>
        <v/>
      </c>
      <c r="O62" s="16" t="inlineStr">
        <is>
          <t>OK</t>
        </is>
      </c>
      <c r="P62" s="13" t="n"/>
    </row>
    <row r="63">
      <c r="A63" s="12" t="inlineStr">
        <is>
          <t>8.02</t>
        </is>
      </c>
      <c r="B63" s="13" t="inlineStr">
        <is>
          <t>Countersunk screw</t>
        </is>
      </c>
      <c r="C63" s="13" t="inlineStr">
        <is>
          <t>M5 x 20, self colour, hex socket</t>
        </is>
      </c>
      <c r="D63" s="17" t="n">
        <v>4</v>
      </c>
      <c r="E63" s="12" t="n">
        <v>12</v>
      </c>
      <c r="F63" s="13" t="inlineStr">
        <is>
          <t>Y left/right – X rail mounting</t>
        </is>
      </c>
      <c r="G63" s="13" t="inlineStr">
        <is>
          <t>Allfix</t>
        </is>
      </c>
      <c r="H63" s="14" t="inlineStr">
        <is>
          <t>Allfix search</t>
        </is>
      </c>
      <c r="I63" s="12" t="inlineStr">
        <is>
          <t>Search link only</t>
        </is>
      </c>
      <c r="J63" s="12" t="inlineStr">
        <is>
          <t>–</t>
        </is>
      </c>
      <c r="K63" s="12" t="inlineStr">
        <is>
          <t>–</t>
        </is>
      </c>
      <c r="L63" s="12" t="inlineStr">
        <is>
          <t>–</t>
        </is>
      </c>
      <c r="M63" s="15" t="n"/>
      <c r="N63" s="15">
        <f>IF(OR(D63="",M63=""),"",D63*M63)</f>
        <v/>
      </c>
      <c r="O63" s="20" t="inlineStr">
        <is>
          <t>CHANGED</t>
        </is>
      </c>
      <c r="P63" s="13" t="inlineStr">
        <is>
          <t>Old master: qty 12 and its description says 25 mm. Sub-assemblies use 4 at 20 mm.</t>
        </is>
      </c>
    </row>
    <row r="64" ht="20" customHeight="1">
      <c r="A64" s="12" t="inlineStr">
        <is>
          <t>8.03</t>
        </is>
      </c>
      <c r="B64" s="13" t="inlineStr">
        <is>
          <t>Socket head (cap) screw</t>
        </is>
      </c>
      <c r="C64" s="13" t="inlineStr">
        <is>
          <t>M5 x 12, self colour, hex socket</t>
        </is>
      </c>
      <c r="D64" s="12" t="n">
        <v>22</v>
      </c>
      <c r="E64" s="12" t="n">
        <v>22</v>
      </c>
      <c r="F64" s="13" t="inlineStr">
        <is>
          <t>Frame – corner cubes</t>
        </is>
      </c>
      <c r="G64" s="13" t="inlineStr">
        <is>
          <t>Allfix</t>
        </is>
      </c>
      <c r="H64" s="14" t="inlineStr">
        <is>
          <t>Allfix search</t>
        </is>
      </c>
      <c r="I64" s="12" t="inlineStr">
        <is>
          <t>Search link only</t>
        </is>
      </c>
      <c r="J64" s="12" t="inlineStr">
        <is>
          <t>–</t>
        </is>
      </c>
      <c r="K64" s="12" t="inlineStr">
        <is>
          <t>–</t>
        </is>
      </c>
      <c r="L64" s="12" t="inlineStr">
        <is>
          <t>–</t>
        </is>
      </c>
      <c r="M64" s="15" t="n"/>
      <c r="N64" s="15">
        <f>IF(OR(D64="",M64=""),"",D64*M64)</f>
        <v/>
      </c>
      <c r="O64" s="16" t="inlineStr">
        <is>
          <t>OK</t>
        </is>
      </c>
      <c r="P64" s="13" t="inlineStr">
        <is>
          <t>Confirmed by you: 12 mm cap head bolts straight through the cubes into the tapped extrusion ends, 22 in total (the front top has no rail, so not all 24 holes are used). Matches the old master.</t>
        </is>
      </c>
    </row>
    <row r="65">
      <c r="A65" s="12" t="inlineStr">
        <is>
          <t>8.04</t>
        </is>
      </c>
      <c r="B65" s="13" t="inlineStr">
        <is>
          <t>Button head screw</t>
        </is>
      </c>
      <c r="C65" s="13" t="inlineStr">
        <is>
          <t>M5 x 8, self colour, hex socket</t>
        </is>
      </c>
      <c r="D65" s="17" t="n">
        <v>6</v>
      </c>
      <c r="E65" s="12" t="n"/>
      <c r="F65" s="13" t="inlineStr">
        <is>
          <t>Frame 90-degree corners (4), electronics enclosure (2)</t>
        </is>
      </c>
      <c r="G65" s="13" t="inlineStr">
        <is>
          <t>Allfix</t>
        </is>
      </c>
      <c r="H65" s="14" t="inlineStr">
        <is>
          <t>Allfix search</t>
        </is>
      </c>
      <c r="I65" s="12" t="inlineStr">
        <is>
          <t>Search link only</t>
        </is>
      </c>
      <c r="J65" s="12" t="inlineStr">
        <is>
          <t>–</t>
        </is>
      </c>
      <c r="K65" s="12" t="inlineStr">
        <is>
          <t>–</t>
        </is>
      </c>
      <c r="L65" s="12" t="inlineStr">
        <is>
          <t>–</t>
        </is>
      </c>
      <c r="M65" s="15" t="n"/>
      <c r="N65" s="15">
        <f>IF(OR(D65="",M65=""),"",D65*M65)</f>
        <v/>
      </c>
      <c r="O65" s="16" t="inlineStr">
        <is>
          <t>OK</t>
        </is>
      </c>
      <c r="P65" s="13" t="inlineStr">
        <is>
          <t>90-degree brackets (4) and electronics enclosure (2). Separate from the 22 x 12 mm cube bolts (different length, confirmed by you). Old master lumped them into the 12 mm line.</t>
        </is>
      </c>
    </row>
    <row r="66">
      <c r="A66" s="12" t="inlineStr">
        <is>
          <t>8.05</t>
        </is>
      </c>
      <c r="B66" s="13" t="inlineStr">
        <is>
          <t>Socket head screw</t>
        </is>
      </c>
      <c r="C66" s="13" t="inlineStr">
        <is>
          <t>M5 x 8, self colour, hex socket</t>
        </is>
      </c>
      <c r="D66" s="17" t="n">
        <v>8</v>
      </c>
      <c r="E66" s="12" t="n"/>
      <c r="F66" s="13" t="inlineStr">
        <is>
          <t>Frame – rail mount</t>
        </is>
      </c>
      <c r="G66" s="13" t="inlineStr">
        <is>
          <t>Allfix</t>
        </is>
      </c>
      <c r="H66" s="14" t="inlineStr">
        <is>
          <t>Allfix search</t>
        </is>
      </c>
      <c r="I66" s="12" t="inlineStr">
        <is>
          <t>Search link only</t>
        </is>
      </c>
      <c r="J66" s="12" t="inlineStr">
        <is>
          <t>–</t>
        </is>
      </c>
      <c r="K66" s="12" t="inlineStr">
        <is>
          <t>–</t>
        </is>
      </c>
      <c r="L66" s="12" t="inlineStr">
        <is>
          <t>–</t>
        </is>
      </c>
      <c r="M66" s="15" t="n"/>
      <c r="N66" s="15">
        <f>IF(OR(D66="",M66=""),"",D66*M66)</f>
        <v/>
      </c>
      <c r="O66" s="19" t="inlineStr">
        <is>
          <t>NEW</t>
        </is>
      </c>
      <c r="P66" s="13" t="inlineStr">
        <is>
          <t>Missing from the old master entirely.</t>
        </is>
      </c>
    </row>
    <row r="67">
      <c r="A67" s="12" t="inlineStr">
        <is>
          <t>8.06</t>
        </is>
      </c>
      <c r="B67" s="13" t="inlineStr">
        <is>
          <t>Drop-in T-nut</t>
        </is>
      </c>
      <c r="C67" s="13" t="inlineStr">
        <is>
          <t>M5, 20-series</t>
        </is>
      </c>
      <c r="D67" s="17" t="n">
        <v>34</v>
      </c>
      <c r="E67" s="12" t="n">
        <v>22</v>
      </c>
      <c r="F67" s="13" t="inlineStr">
        <is>
          <t>Motors, idlers, Y left/right, frame rails</t>
        </is>
      </c>
      <c r="G67" s="13" t="n"/>
      <c r="H67" s="12" t="inlineStr">
        <is>
          <t>–</t>
        </is>
      </c>
      <c r="I67" s="12" t="inlineStr">
        <is>
          <t>Search links only</t>
        </is>
      </c>
      <c r="J67" s="14" t="inlineStr">
        <is>
          <t>eBay</t>
        </is>
      </c>
      <c r="K67" s="14" t="inlineStr">
        <is>
          <t>Amazon</t>
        </is>
      </c>
      <c r="L67" s="14" t="inlineStr">
        <is>
          <t>AliExpress</t>
        </is>
      </c>
      <c r="M67" s="15" t="n"/>
      <c r="N67" s="15">
        <f>IF(OR(D67="",M67=""),"",D67*M67)</f>
        <v/>
      </c>
      <c r="O67" s="20" t="inlineStr">
        <is>
          <t>CHANGED</t>
        </is>
      </c>
      <c r="P67" s="13" t="inlineStr">
        <is>
          <t>Old master left out the 12 frame rail-mount nuts. Those 12 pair with only 8 M5 socket screws, so check. The corner cubes use bolts into tapped ends, so they need no T-nuts.</t>
        </is>
      </c>
    </row>
    <row r="68" ht="20" customHeight="1">
      <c r="A68" s="11" t="inlineStr">
        <is>
          <t>9  Z-STEPPER PEN-LIFT HEAD</t>
        </is>
      </c>
      <c r="B68" s="11" t="n"/>
      <c r="C68" s="11" t="n"/>
      <c r="D68" s="11" t="n"/>
      <c r="E68" s="11" t="n"/>
      <c r="F68" s="11" t="n"/>
      <c r="G68" s="11" t="n"/>
      <c r="H68" s="11" t="n"/>
      <c r="I68" s="11" t="n"/>
      <c r="J68" s="11" t="n"/>
      <c r="K68" s="11" t="n"/>
      <c r="L68" s="11" t="n"/>
      <c r="M68" s="11" t="n"/>
      <c r="N68" s="11" t="n"/>
      <c r="O68" s="11" t="n"/>
      <c r="P68" s="11" t="n"/>
    </row>
    <row r="69">
      <c r="A69" s="12" t="inlineStr">
        <is>
          <t>9.01</t>
        </is>
      </c>
      <c r="B69" s="13" t="inlineStr">
        <is>
          <t>NEMA 14 stepper motor</t>
        </is>
      </c>
      <c r="C69" s="13" t="inlineStr">
        <is>
          <t>Model/length not stated in the repo</t>
        </is>
      </c>
      <c r="D69" s="17" t="n">
        <v>1</v>
      </c>
      <c r="E69" s="12" t="n"/>
      <c r="F69" s="13" t="inlineStr">
        <is>
          <t>Pen lift</t>
        </is>
      </c>
      <c r="G69" s="13" t="inlineStr">
        <is>
          <t>Any seller</t>
        </is>
      </c>
      <c r="H69" s="12" t="inlineStr">
        <is>
          <t>–</t>
        </is>
      </c>
      <c r="I69" s="12" t="inlineStr">
        <is>
          <t>Search links only</t>
        </is>
      </c>
      <c r="J69" s="14" t="inlineStr">
        <is>
          <t>eBay</t>
        </is>
      </c>
      <c r="K69" s="14" t="inlineStr">
        <is>
          <t>Amazon</t>
        </is>
      </c>
      <c r="L69" s="14" t="inlineStr">
        <is>
          <t>AliExpress</t>
        </is>
      </c>
      <c r="M69" s="15" t="n"/>
      <c r="N69" s="15">
        <f>IF(OR(D69="",M69=""),"",D69*M69)</f>
        <v/>
      </c>
      <c r="O69" s="18" t="inlineStr">
        <is>
          <t>CHECK</t>
        </is>
      </c>
      <c r="P69" s="13" t="inlineStr">
        <is>
          <t>The repo doesn't say which NEMA 14. Tell me the model (or body length and current) and I'll pin a link. The Pi Hut stocks a 2.7 V 1 A NEMA 14 (https://thepihut.com/products/nema-14-bipolar-stepper-motor-200-steps-rev-2-7v-1a-phase) but I haven't checked it fits your mount.</t>
        </is>
      </c>
    </row>
    <row r="70" ht="20" customHeight="1">
      <c r="A70" s="12" t="inlineStr">
        <is>
          <t>9.02</t>
        </is>
      </c>
      <c r="B70" s="13" t="inlineStr">
        <is>
          <t>BigTreeTech EBB42 CAN toolboard</t>
        </is>
      </c>
      <c r="C70" s="13" t="inlineStr">
        <is>
          <t>V1.2 (README says EBB 42; version not stated)</t>
        </is>
      </c>
      <c r="D70" s="17" t="n">
        <v>1</v>
      </c>
      <c r="E70" s="12" t="n"/>
      <c r="F70" s="13" t="inlineStr">
        <is>
          <t>Plotter head</t>
        </is>
      </c>
      <c r="G70" s="13" t="inlineStr">
        <is>
          <t>Rat Rig (search result)</t>
        </is>
      </c>
      <c r="H70" s="14" t="inlineStr">
        <is>
          <t>Link</t>
        </is>
      </c>
      <c r="I70" s="12" t="inlineStr">
        <is>
          <t>Search result (not opened)</t>
        </is>
      </c>
      <c r="J70" s="14" t="inlineStr">
        <is>
          <t>eBay</t>
        </is>
      </c>
      <c r="K70" s="14" t="inlineStr">
        <is>
          <t>Amazon</t>
        </is>
      </c>
      <c r="L70" s="14" t="inlineStr">
        <is>
          <t>AliExpress</t>
        </is>
      </c>
      <c r="M70" s="15" t="n"/>
      <c r="N70" s="15">
        <f>IF(OR(D70="",M70=""),"",D70*M70)</f>
        <v/>
      </c>
      <c r="O70" s="18" t="inlineStr">
        <is>
          <t>CHECK</t>
        </is>
      </c>
      <c r="P70" s="13" t="inlineStr">
        <is>
          <t>From the Z-stepper README. Check the version, and how this connects to your controller, since the BOM has no CAN interface or cable listed.</t>
        </is>
      </c>
    </row>
    <row r="71" ht="20" customHeight="1">
      <c r="A71" s="12" t="inlineStr">
        <is>
          <t>9.03</t>
        </is>
      </c>
      <c r="B71" s="13" t="inlineStr">
        <is>
          <t>GT2 timing belt, 6 mm (pen lift)</t>
        </is>
      </c>
      <c r="C71" s="13" t="inlineStr">
        <is>
          <t>Length to confirm</t>
        </is>
      </c>
      <c r="D71" s="17" t="n"/>
      <c r="E71" s="12" t="n"/>
      <c r="F71" s="13" t="inlineStr">
        <is>
          <t>Pen lift</t>
        </is>
      </c>
      <c r="G71" s="13" t="inlineStr">
        <is>
          <t>Any seller</t>
        </is>
      </c>
      <c r="H71" s="12" t="inlineStr">
        <is>
          <t>–</t>
        </is>
      </c>
      <c r="I71" s="12" t="inlineStr">
        <is>
          <t>Search links only</t>
        </is>
      </c>
      <c r="J71" s="14" t="inlineStr">
        <is>
          <t>eBay</t>
        </is>
      </c>
      <c r="K71" s="14" t="inlineStr">
        <is>
          <t>Amazon</t>
        </is>
      </c>
      <c r="L71" s="14" t="inlineStr">
        <is>
          <t>AliExpress</t>
        </is>
      </c>
      <c r="M71" s="15" t="n"/>
      <c r="N71" s="15">
        <f>IF(OR(D71="",M71=""),"",D71*M71)</f>
        <v/>
      </c>
      <c r="O71" s="18" t="inlineStr">
        <is>
          <t>CHECK</t>
        </is>
      </c>
      <c r="P71" s="13" t="inlineStr">
        <is>
          <t>6 mm belt, any seller (confirmed by you). Open or closed loop, and length, not stated in the repo.</t>
        </is>
      </c>
    </row>
    <row r="72">
      <c r="A72" s="12" t="inlineStr">
        <is>
          <t>9.04</t>
        </is>
      </c>
      <c r="B72" s="13" t="inlineStr">
        <is>
          <t>Pen-lift head cable</t>
        </is>
      </c>
      <c r="C72" s="13" t="inlineStr">
        <is>
          <t>CAN + power to the head; length to confirm</t>
        </is>
      </c>
      <c r="D72" s="17" t="n">
        <v>1</v>
      </c>
      <c r="E72" s="12" t="n"/>
      <c r="F72" s="13" t="inlineStr">
        <is>
          <t>Plotter head</t>
        </is>
      </c>
      <c r="G72" s="13" t="inlineStr">
        <is>
          <t>Any seller</t>
        </is>
      </c>
      <c r="H72" s="12" t="inlineStr">
        <is>
          <t>–</t>
        </is>
      </c>
      <c r="I72" s="12" t="inlineStr">
        <is>
          <t>Search links only</t>
        </is>
      </c>
      <c r="J72" s="14" t="inlineStr">
        <is>
          <t>eBay</t>
        </is>
      </c>
      <c r="K72" s="14" t="inlineStr">
        <is>
          <t>Amazon</t>
        </is>
      </c>
      <c r="L72" s="14" t="inlineStr">
        <is>
          <t>AliExpress</t>
        </is>
      </c>
      <c r="M72" s="15" t="n"/>
      <c r="N72" s="15">
        <f>IF(OR(D72="",M72=""),"",D72*M72)</f>
        <v/>
      </c>
      <c r="O72" s="18" t="inlineStr">
        <is>
          <t>CHECK</t>
        </is>
      </c>
      <c r="P72" s="13" t="inlineStr">
        <is>
          <t>Not in the repo; length and connector to confirm.</t>
        </is>
      </c>
    </row>
    <row r="73">
      <c r="A73" s="12" t="inlineStr">
        <is>
          <t>9.05</t>
        </is>
      </c>
      <c r="B73" s="13" t="inlineStr">
        <is>
          <t>Stepper head fasteners</t>
        </is>
      </c>
      <c r="C73" s="13" t="inlineStr">
        <is>
          <t>Not listed in the repo</t>
        </is>
      </c>
      <c r="D73" s="17" t="n"/>
      <c r="E73" s="12" t="n"/>
      <c r="F73" s="13" t="inlineStr">
        <is>
          <t>Plotter head</t>
        </is>
      </c>
      <c r="G73" s="13" t="n"/>
      <c r="H73" s="12" t="inlineStr">
        <is>
          <t>–</t>
        </is>
      </c>
      <c r="I73" s="12" t="inlineStr">
        <is>
          <t>–</t>
        </is>
      </c>
      <c r="J73" s="12" t="inlineStr">
        <is>
          <t>–</t>
        </is>
      </c>
      <c r="K73" s="12" t="inlineStr">
        <is>
          <t>–</t>
        </is>
      </c>
      <c r="L73" s="12" t="inlineStr">
        <is>
          <t>–</t>
        </is>
      </c>
      <c r="M73" s="15" t="n"/>
      <c r="N73" s="15">
        <f>IF(OR(D73="",M73=""),"",D73*M73)</f>
        <v/>
      </c>
      <c r="O73" s="18" t="inlineStr">
        <is>
          <t>CHECK</t>
        </is>
      </c>
      <c r="P73" s="13" t="inlineStr">
        <is>
          <t>Add the screw sizes and counts for the new head once you've counted them; the CAD file doesn't give a clean list.</t>
        </is>
      </c>
    </row>
    <row r="74" ht="20" customHeight="1">
      <c r="A74" s="11" t="inlineStr">
        <is>
          <t>10  PRINTED PARTS (STL – print in-house)</t>
        </is>
      </c>
      <c r="B74" s="11" t="n"/>
      <c r="C74" s="11" t="n"/>
      <c r="D74" s="11" t="n"/>
      <c r="E74" s="11" t="n"/>
      <c r="F74" s="11" t="n"/>
      <c r="G74" s="11" t="n"/>
      <c r="H74" s="11" t="n"/>
      <c r="I74" s="11" t="n"/>
      <c r="J74" s="11" t="n"/>
      <c r="K74" s="11" t="n"/>
      <c r="L74" s="11" t="n"/>
      <c r="M74" s="11" t="n"/>
      <c r="N74" s="11" t="n"/>
      <c r="O74" s="11" t="n"/>
      <c r="P74" s="11" t="n"/>
    </row>
    <row r="75">
      <c r="A75" s="12" t="inlineStr">
        <is>
          <t>10.01</t>
        </is>
      </c>
      <c r="B75" s="13" t="inlineStr">
        <is>
          <t>X idler top (XIT)</t>
        </is>
      </c>
      <c r="C75" s="13" t="inlineStr">
        <is>
          <t>X_Idler_Top.stl</t>
        </is>
      </c>
      <c r="D75" s="12" t="n">
        <v>1</v>
      </c>
      <c r="E75" s="12" t="n"/>
      <c r="F75" s="13" t="inlineStr">
        <is>
          <t>X idler</t>
        </is>
      </c>
      <c r="G75" s="13" t="inlineStr">
        <is>
          <t>Print in-house</t>
        </is>
      </c>
      <c r="H75" s="14" t="inlineStr">
        <is>
          <t>Link</t>
        </is>
      </c>
      <c r="I75" s="12" t="inlineStr">
        <is>
          <t>Repo path (not opened)</t>
        </is>
      </c>
      <c r="J75" s="12" t="inlineStr">
        <is>
          <t>–</t>
        </is>
      </c>
      <c r="K75" s="12" t="inlineStr">
        <is>
          <t>–</t>
        </is>
      </c>
      <c r="L75" s="12" t="inlineStr">
        <is>
          <t>–</t>
        </is>
      </c>
      <c r="M75" s="15" t="n"/>
      <c r="N75" s="15">
        <f>IF(OR(D75="",M75=""),"",D75*M75)</f>
        <v/>
      </c>
      <c r="O75" s="16" t="inlineStr">
        <is>
          <t>OK</t>
        </is>
      </c>
      <c r="P75" s="13" t="inlineStr">
        <is>
          <t>A _clamped variant also exists; pick one.</t>
        </is>
      </c>
    </row>
    <row r="76">
      <c r="A76" s="12" t="inlineStr">
        <is>
          <t>10.02</t>
        </is>
      </c>
      <c r="B76" s="13" t="inlineStr">
        <is>
          <t>X idler bottom (XIB)</t>
        </is>
      </c>
      <c r="C76" s="13" t="inlineStr">
        <is>
          <t>X_Idler_Bottom.stl</t>
        </is>
      </c>
      <c r="D76" s="12" t="n">
        <v>1</v>
      </c>
      <c r="E76" s="12" t="n"/>
      <c r="F76" s="13" t="inlineStr">
        <is>
          <t>X idler</t>
        </is>
      </c>
      <c r="G76" s="13" t="inlineStr">
        <is>
          <t>Print in-house</t>
        </is>
      </c>
      <c r="H76" s="14" t="inlineStr">
        <is>
          <t>Link</t>
        </is>
      </c>
      <c r="I76" s="12" t="inlineStr">
        <is>
          <t>Repo path (not opened)</t>
        </is>
      </c>
      <c r="J76" s="12" t="inlineStr">
        <is>
          <t>–</t>
        </is>
      </c>
      <c r="K76" s="12" t="inlineStr">
        <is>
          <t>–</t>
        </is>
      </c>
      <c r="L76" s="12" t="inlineStr">
        <is>
          <t>–</t>
        </is>
      </c>
      <c r="M76" s="15" t="n"/>
      <c r="N76" s="15">
        <f>IF(OR(D76="",M76=""),"",D76*M76)</f>
        <v/>
      </c>
      <c r="O76" s="16" t="inlineStr">
        <is>
          <t>OK</t>
        </is>
      </c>
      <c r="P76" s="13" t="inlineStr">
        <is>
          <t>A _clamped variant also exists; pick one.</t>
        </is>
      </c>
    </row>
    <row r="77" ht="20" customHeight="1">
      <c r="A77" s="12" t="inlineStr">
        <is>
          <t>10.03</t>
        </is>
      </c>
      <c r="B77" s="13" t="inlineStr">
        <is>
          <t>Y idler top (YIT)</t>
        </is>
      </c>
      <c r="C77" s="13" t="inlineStr">
        <is>
          <t>Y_Idler_Top.stl</t>
        </is>
      </c>
      <c r="D77" s="12" t="n">
        <v>1</v>
      </c>
      <c r="E77" s="12" t="n"/>
      <c r="F77" s="13" t="inlineStr">
        <is>
          <t>Y idler</t>
        </is>
      </c>
      <c r="G77" s="13" t="inlineStr">
        <is>
          <t>Print in-house</t>
        </is>
      </c>
      <c r="H77" s="14" t="inlineStr">
        <is>
          <t>Link</t>
        </is>
      </c>
      <c r="I77" s="12" t="inlineStr">
        <is>
          <t>Repo path (not opened)</t>
        </is>
      </c>
      <c r="J77" s="12" t="inlineStr">
        <is>
          <t>–</t>
        </is>
      </c>
      <c r="K77" s="12" t="inlineStr">
        <is>
          <t>–</t>
        </is>
      </c>
      <c r="L77" s="12" t="inlineStr">
        <is>
          <t>–</t>
        </is>
      </c>
      <c r="M77" s="15" t="n"/>
      <c r="N77" s="15">
        <f>IF(OR(D77="",M77=""),"",D77*M77)</f>
        <v/>
      </c>
      <c r="O77" s="16" t="inlineStr">
        <is>
          <t>OK</t>
        </is>
      </c>
      <c r="P77" s="13" t="inlineStr">
        <is>
          <t>Old BOM described this as 'X Idler Top'. A _clamped variant also exists.</t>
        </is>
      </c>
    </row>
    <row r="78">
      <c r="A78" s="12" t="inlineStr">
        <is>
          <t>10.04</t>
        </is>
      </c>
      <c r="B78" s="13" t="inlineStr">
        <is>
          <t>Y idler bottom (YIB)</t>
        </is>
      </c>
      <c r="C78" s="13" t="inlineStr">
        <is>
          <t>Y_Idler_Bottom.stl</t>
        </is>
      </c>
      <c r="D78" s="12" t="n">
        <v>1</v>
      </c>
      <c r="E78" s="12" t="n"/>
      <c r="F78" s="13" t="inlineStr">
        <is>
          <t>Y idler</t>
        </is>
      </c>
      <c r="G78" s="13" t="inlineStr">
        <is>
          <t>Print in-house</t>
        </is>
      </c>
      <c r="H78" s="14" t="inlineStr">
        <is>
          <t>Link</t>
        </is>
      </c>
      <c r="I78" s="12" t="inlineStr">
        <is>
          <t>Repo path (not opened)</t>
        </is>
      </c>
      <c r="J78" s="12" t="inlineStr">
        <is>
          <t>–</t>
        </is>
      </c>
      <c r="K78" s="12" t="inlineStr">
        <is>
          <t>–</t>
        </is>
      </c>
      <c r="L78" s="12" t="inlineStr">
        <is>
          <t>–</t>
        </is>
      </c>
      <c r="M78" s="15" t="n"/>
      <c r="N78" s="15">
        <f>IF(OR(D78="",M78=""),"",D78*M78)</f>
        <v/>
      </c>
      <c r="O78" s="16" t="inlineStr">
        <is>
          <t>OK</t>
        </is>
      </c>
      <c r="P78" s="13" t="inlineStr">
        <is>
          <t>A _clamped variant also exists.</t>
        </is>
      </c>
    </row>
    <row r="79">
      <c r="A79" s="12" t="inlineStr">
        <is>
          <t>10.05</t>
        </is>
      </c>
      <c r="B79" s="13" t="inlineStr">
        <is>
          <t>X motor top (XMT)</t>
        </is>
      </c>
      <c r="C79" s="13" t="inlineStr">
        <is>
          <t>X_Motor_Top.stl</t>
        </is>
      </c>
      <c r="D79" s="12" t="n">
        <v>1</v>
      </c>
      <c r="E79" s="12" t="n"/>
      <c r="F79" s="13" t="inlineStr">
        <is>
          <t>X motor</t>
        </is>
      </c>
      <c r="G79" s="13" t="inlineStr">
        <is>
          <t>Print in-house</t>
        </is>
      </c>
      <c r="H79" s="14" t="inlineStr">
        <is>
          <t>Link</t>
        </is>
      </c>
      <c r="I79" s="12" t="inlineStr">
        <is>
          <t>Repo path (not opened)</t>
        </is>
      </c>
      <c r="J79" s="12" t="inlineStr">
        <is>
          <t>–</t>
        </is>
      </c>
      <c r="K79" s="12" t="inlineStr">
        <is>
          <t>–</t>
        </is>
      </c>
      <c r="L79" s="12" t="inlineStr">
        <is>
          <t>–</t>
        </is>
      </c>
      <c r="M79" s="15" t="n"/>
      <c r="N79" s="15">
        <f>IF(OR(D79="",M79=""),"",D79*M79)</f>
        <v/>
      </c>
      <c r="O79" s="16" t="inlineStr">
        <is>
          <t>OK</t>
        </is>
      </c>
      <c r="P79" s="13" t="n"/>
    </row>
    <row r="80">
      <c r="A80" s="12" t="inlineStr">
        <is>
          <t>10.06</t>
        </is>
      </c>
      <c r="B80" s="13" t="inlineStr">
        <is>
          <t>X motor bottom (XMB)</t>
        </is>
      </c>
      <c r="C80" s="13" t="inlineStr">
        <is>
          <t>X_Motor_Bottom.stl</t>
        </is>
      </c>
      <c r="D80" s="12" t="n">
        <v>1</v>
      </c>
      <c r="E80" s="12" t="n"/>
      <c r="F80" s="13" t="inlineStr">
        <is>
          <t>X motor</t>
        </is>
      </c>
      <c r="G80" s="13" t="inlineStr">
        <is>
          <t>Print in-house</t>
        </is>
      </c>
      <c r="H80" s="14" t="inlineStr">
        <is>
          <t>Link</t>
        </is>
      </c>
      <c r="I80" s="12" t="inlineStr">
        <is>
          <t>Repo path (not opened)</t>
        </is>
      </c>
      <c r="J80" s="12" t="inlineStr">
        <is>
          <t>–</t>
        </is>
      </c>
      <c r="K80" s="12" t="inlineStr">
        <is>
          <t>–</t>
        </is>
      </c>
      <c r="L80" s="12" t="inlineStr">
        <is>
          <t>–</t>
        </is>
      </c>
      <c r="M80" s="15" t="n"/>
      <c r="N80" s="15">
        <f>IF(OR(D80="",M80=""),"",D80*M80)</f>
        <v/>
      </c>
      <c r="O80" s="16" t="inlineStr">
        <is>
          <t>OK</t>
        </is>
      </c>
      <c r="P80" s="13" t="n"/>
    </row>
    <row r="81">
      <c r="A81" s="12" t="inlineStr">
        <is>
          <t>10.07</t>
        </is>
      </c>
      <c r="B81" s="13" t="inlineStr">
        <is>
          <t>Y motor top (YMT)</t>
        </is>
      </c>
      <c r="C81" s="13" t="inlineStr">
        <is>
          <t>Y_Motor_Top.stl</t>
        </is>
      </c>
      <c r="D81" s="12" t="n">
        <v>1</v>
      </c>
      <c r="E81" s="12" t="n"/>
      <c r="F81" s="13" t="inlineStr">
        <is>
          <t>Y motor</t>
        </is>
      </c>
      <c r="G81" s="13" t="inlineStr">
        <is>
          <t>Print in-house</t>
        </is>
      </c>
      <c r="H81" s="14" t="inlineStr">
        <is>
          <t>Link</t>
        </is>
      </c>
      <c r="I81" s="12" t="inlineStr">
        <is>
          <t>Repo path (not opened)</t>
        </is>
      </c>
      <c r="J81" s="12" t="inlineStr">
        <is>
          <t>–</t>
        </is>
      </c>
      <c r="K81" s="12" t="inlineStr">
        <is>
          <t>–</t>
        </is>
      </c>
      <c r="L81" s="12" t="inlineStr">
        <is>
          <t>–</t>
        </is>
      </c>
      <c r="M81" s="15" t="n"/>
      <c r="N81" s="15">
        <f>IF(OR(D81="",M81=""),"",D81*M81)</f>
        <v/>
      </c>
      <c r="O81" s="16" t="inlineStr">
        <is>
          <t>OK</t>
        </is>
      </c>
      <c r="P81" s="13" t="inlineStr">
        <is>
          <t>Old BOM described this as 'X Motor Top'.</t>
        </is>
      </c>
    </row>
    <row r="82">
      <c r="A82" s="12" t="inlineStr">
        <is>
          <t>10.08</t>
        </is>
      </c>
      <c r="B82" s="13" t="inlineStr">
        <is>
          <t>Y motor bottom (YMB)</t>
        </is>
      </c>
      <c r="C82" s="13" t="inlineStr">
        <is>
          <t>Y_Motor_Bottom.stl</t>
        </is>
      </c>
      <c r="D82" s="12" t="n">
        <v>1</v>
      </c>
      <c r="E82" s="12" t="n"/>
      <c r="F82" s="13" t="inlineStr">
        <is>
          <t>Y motor</t>
        </is>
      </c>
      <c r="G82" s="13" t="inlineStr">
        <is>
          <t>Print in-house</t>
        </is>
      </c>
      <c r="H82" s="14" t="inlineStr">
        <is>
          <t>Link</t>
        </is>
      </c>
      <c r="I82" s="12" t="inlineStr">
        <is>
          <t>Repo path (not opened)</t>
        </is>
      </c>
      <c r="J82" s="12" t="inlineStr">
        <is>
          <t>–</t>
        </is>
      </c>
      <c r="K82" s="12" t="inlineStr">
        <is>
          <t>–</t>
        </is>
      </c>
      <c r="L82" s="12" t="inlineStr">
        <is>
          <t>–</t>
        </is>
      </c>
      <c r="M82" s="15" t="n"/>
      <c r="N82" s="15">
        <f>IF(OR(D82="",M82=""),"",D82*M82)</f>
        <v/>
      </c>
      <c r="O82" s="16" t="inlineStr">
        <is>
          <t>OK</t>
        </is>
      </c>
      <c r="P82" s="13" t="n"/>
    </row>
    <row r="83">
      <c r="A83" s="12" t="inlineStr">
        <is>
          <t>10.09</t>
        </is>
      </c>
      <c r="B83" s="13" t="inlineStr">
        <is>
          <t>X axis bracket top, left (XYT)</t>
        </is>
      </c>
      <c r="C83" s="13" t="inlineStr">
        <is>
          <t>Xy_Carriage_Top.stl</t>
        </is>
      </c>
      <c r="D83" s="17" t="n">
        <v>1</v>
      </c>
      <c r="E83" s="12" t="n"/>
      <c r="F83" s="13" t="inlineStr">
        <is>
          <t>Y left</t>
        </is>
      </c>
      <c r="G83" s="13" t="inlineStr">
        <is>
          <t>Print in-house</t>
        </is>
      </c>
      <c r="H83" s="14" t="inlineStr">
        <is>
          <t>Link</t>
        </is>
      </c>
      <c r="I83" s="12" t="inlineStr">
        <is>
          <t>Repo path (not opened)</t>
        </is>
      </c>
      <c r="J83" s="12" t="inlineStr">
        <is>
          <t>–</t>
        </is>
      </c>
      <c r="K83" s="12" t="inlineStr">
        <is>
          <t>–</t>
        </is>
      </c>
      <c r="L83" s="12" t="inlineStr">
        <is>
          <t>–</t>
        </is>
      </c>
      <c r="M83" s="15" t="n"/>
      <c r="N83" s="15">
        <f>IF(OR(D83="",M83=""),"",D83*M83)</f>
        <v/>
      </c>
      <c r="O83" s="18" t="inlineStr">
        <is>
          <t>CHECK</t>
        </is>
      </c>
      <c r="P83" s="13" t="inlineStr">
        <is>
          <t>Matched by file name only; confirm.</t>
        </is>
      </c>
    </row>
    <row r="84">
      <c r="A84" s="12" t="inlineStr">
        <is>
          <t>10.10</t>
        </is>
      </c>
      <c r="B84" s="13" t="inlineStr">
        <is>
          <t>X axis bracket bottom, left (XYB)</t>
        </is>
      </c>
      <c r="C84" s="13" t="inlineStr">
        <is>
          <t>Xy_Carriage_Bottom.stl</t>
        </is>
      </c>
      <c r="D84" s="17" t="n">
        <v>1</v>
      </c>
      <c r="E84" s="12" t="n"/>
      <c r="F84" s="13" t="inlineStr">
        <is>
          <t>Y left</t>
        </is>
      </c>
      <c r="G84" s="13" t="inlineStr">
        <is>
          <t>Print in-house</t>
        </is>
      </c>
      <c r="H84" s="14" t="inlineStr">
        <is>
          <t>Link</t>
        </is>
      </c>
      <c r="I84" s="12" t="inlineStr">
        <is>
          <t>Repo path (not opened)</t>
        </is>
      </c>
      <c r="J84" s="12" t="inlineStr">
        <is>
          <t>–</t>
        </is>
      </c>
      <c r="K84" s="12" t="inlineStr">
        <is>
          <t>–</t>
        </is>
      </c>
      <c r="L84" s="12" t="inlineStr">
        <is>
          <t>–</t>
        </is>
      </c>
      <c r="M84" s="15" t="n"/>
      <c r="N84" s="15">
        <f>IF(OR(D84="",M84=""),"",D84*M84)</f>
        <v/>
      </c>
      <c r="O84" s="18" t="inlineStr">
        <is>
          <t>CHECK</t>
        </is>
      </c>
      <c r="P84" s="13" t="inlineStr">
        <is>
          <t>Matched by file name only; confirm.</t>
        </is>
      </c>
    </row>
    <row r="85">
      <c r="A85" s="12" t="inlineStr">
        <is>
          <t>10.11</t>
        </is>
      </c>
      <c r="B85" s="13" t="inlineStr">
        <is>
          <t>X axis bracket top, right (YXT)</t>
        </is>
      </c>
      <c r="C85" s="13" t="inlineStr">
        <is>
          <t>Xx_Carriage_Top.stl</t>
        </is>
      </c>
      <c r="D85" s="17" t="n">
        <v>1</v>
      </c>
      <c r="E85" s="12" t="n">
        <v>1</v>
      </c>
      <c r="F85" s="13" t="inlineStr">
        <is>
          <t>Y right</t>
        </is>
      </c>
      <c r="G85" s="13" t="inlineStr">
        <is>
          <t>Print in-house</t>
        </is>
      </c>
      <c r="H85" s="14" t="inlineStr">
        <is>
          <t>Link</t>
        </is>
      </c>
      <c r="I85" s="12" t="inlineStr">
        <is>
          <t>Repo path (not opened)</t>
        </is>
      </c>
      <c r="J85" s="12" t="inlineStr">
        <is>
          <t>–</t>
        </is>
      </c>
      <c r="K85" s="12" t="inlineStr">
        <is>
          <t>–</t>
        </is>
      </c>
      <c r="L85" s="12" t="inlineStr">
        <is>
          <t>–</t>
        </is>
      </c>
      <c r="M85" s="15" t="n"/>
      <c r="N85" s="15">
        <f>IF(OR(D85="",M85=""),"",D85*M85)</f>
        <v/>
      </c>
      <c r="O85" s="18" t="inlineStr">
        <is>
          <t>CHECK</t>
        </is>
      </c>
      <c r="P85" s="13" t="inlineStr">
        <is>
          <t>Matched by file name only; confirm.</t>
        </is>
      </c>
    </row>
    <row r="86">
      <c r="A86" s="12" t="inlineStr">
        <is>
          <t>10.12</t>
        </is>
      </c>
      <c r="B86" s="13" t="inlineStr">
        <is>
          <t>X axis bracket bottom, right (YXB)</t>
        </is>
      </c>
      <c r="C86" s="13" t="inlineStr">
        <is>
          <t>Xx_Carraiage_Bottom.stl</t>
        </is>
      </c>
      <c r="D86" s="17" t="n">
        <v>1</v>
      </c>
      <c r="E86" s="12" t="n">
        <v>1</v>
      </c>
      <c r="F86" s="13" t="inlineStr">
        <is>
          <t>Y right</t>
        </is>
      </c>
      <c r="G86" s="13" t="inlineStr">
        <is>
          <t>Print in-house</t>
        </is>
      </c>
      <c r="H86" s="14" t="inlineStr">
        <is>
          <t>Link</t>
        </is>
      </c>
      <c r="I86" s="12" t="inlineStr">
        <is>
          <t>Repo path (not opened)</t>
        </is>
      </c>
      <c r="J86" s="12" t="inlineStr">
        <is>
          <t>–</t>
        </is>
      </c>
      <c r="K86" s="12" t="inlineStr">
        <is>
          <t>–</t>
        </is>
      </c>
      <c r="L86" s="12" t="inlineStr">
        <is>
          <t>–</t>
        </is>
      </c>
      <c r="M86" s="15" t="n"/>
      <c r="N86" s="15">
        <f>IF(OR(D86="",M86=""),"",D86*M86)</f>
        <v/>
      </c>
      <c r="O86" s="18" t="inlineStr">
        <is>
          <t>CHECK</t>
        </is>
      </c>
      <c r="P86" s="13" t="inlineStr">
        <is>
          <t>File name has a typo ('Carraiage'). Matched by name only; confirm.</t>
        </is>
      </c>
    </row>
    <row r="87">
      <c r="A87" s="12" t="inlineStr">
        <is>
          <t>10.13</t>
        </is>
      </c>
      <c r="B87" s="13" t="inlineStr">
        <is>
          <t>Energy chain bracket (ECB)</t>
        </is>
      </c>
      <c r="C87" s="13" t="inlineStr">
        <is>
          <t>No STL found</t>
        </is>
      </c>
      <c r="D87" s="17" t="n">
        <v>1</v>
      </c>
      <c r="E87" s="12" t="n">
        <v>1</v>
      </c>
      <c r="F87" s="13" t="inlineStr">
        <is>
          <t>Y right</t>
        </is>
      </c>
      <c r="G87" s="13" t="inlineStr">
        <is>
          <t>Print in-house</t>
        </is>
      </c>
      <c r="H87" s="12" t="inlineStr">
        <is>
          <t>–</t>
        </is>
      </c>
      <c r="I87" s="12" t="inlineStr">
        <is>
          <t>–</t>
        </is>
      </c>
      <c r="J87" s="12" t="inlineStr">
        <is>
          <t>–</t>
        </is>
      </c>
      <c r="K87" s="12" t="inlineStr">
        <is>
          <t>–</t>
        </is>
      </c>
      <c r="L87" s="12" t="inlineStr">
        <is>
          <t>–</t>
        </is>
      </c>
      <c r="M87" s="15" t="n"/>
      <c r="N87" s="15">
        <f>IF(OR(D87="",M87=""),"",D87*M87)</f>
        <v/>
      </c>
      <c r="O87" s="18" t="inlineStr">
        <is>
          <t>CHECK</t>
        </is>
      </c>
      <c r="P87" s="13" t="inlineStr">
        <is>
          <t>Add the STL to the repo or tell me which file it is.</t>
        </is>
      </c>
    </row>
    <row r="88">
      <c r="A88" s="12" t="inlineStr">
        <is>
          <t>10.14</t>
        </is>
      </c>
      <c r="B88" s="13" t="inlineStr">
        <is>
          <t>Carriage (RUM)</t>
        </is>
      </c>
      <c r="C88" s="13" t="inlineStr">
        <is>
          <t>Tool_Carriage.stl</t>
        </is>
      </c>
      <c r="D88" s="17" t="n">
        <v>1</v>
      </c>
      <c r="E88" s="12" t="n">
        <v>1</v>
      </c>
      <c r="F88" s="13" t="inlineStr">
        <is>
          <t>Carriage</t>
        </is>
      </c>
      <c r="G88" s="13" t="inlineStr">
        <is>
          <t>Print in-house</t>
        </is>
      </c>
      <c r="H88" s="14" t="inlineStr">
        <is>
          <t>Link</t>
        </is>
      </c>
      <c r="I88" s="12" t="inlineStr">
        <is>
          <t>Repo path (not opened)</t>
        </is>
      </c>
      <c r="J88" s="12" t="inlineStr">
        <is>
          <t>–</t>
        </is>
      </c>
      <c r="K88" s="12" t="inlineStr">
        <is>
          <t>–</t>
        </is>
      </c>
      <c r="L88" s="12" t="inlineStr">
        <is>
          <t>–</t>
        </is>
      </c>
      <c r="M88" s="15" t="n"/>
      <c r="N88" s="15">
        <f>IF(OR(D88="",M88=""),"",D88*M88)</f>
        <v/>
      </c>
      <c r="O88" s="18" t="inlineStr">
        <is>
          <t>CHECK</t>
        </is>
      </c>
      <c r="P88" s="13" t="inlineStr">
        <is>
          <t>Matched by file name only. stepper_tool_carriage.stl below may replace this for the stepper head.</t>
        </is>
      </c>
    </row>
    <row r="89">
      <c r="A89" s="12" t="inlineStr">
        <is>
          <t>10.15</t>
        </is>
      </c>
      <c r="B89" s="13" t="inlineStr">
        <is>
          <t>Belt clamp front (BCF)</t>
        </is>
      </c>
      <c r="C89" s="13" t="inlineStr">
        <is>
          <t>Belt_Clamp_Plate.stl</t>
        </is>
      </c>
      <c r="D89" s="17" t="n">
        <v>1</v>
      </c>
      <c r="E89" s="12" t="n">
        <v>1</v>
      </c>
      <c r="F89" s="13" t="inlineStr">
        <is>
          <t>Carriage</t>
        </is>
      </c>
      <c r="G89" s="13" t="inlineStr">
        <is>
          <t>Print in-house</t>
        </is>
      </c>
      <c r="H89" s="14" t="inlineStr">
        <is>
          <t>Link</t>
        </is>
      </c>
      <c r="I89" s="12" t="inlineStr">
        <is>
          <t>Repo path (not opened)</t>
        </is>
      </c>
      <c r="J89" s="12" t="inlineStr">
        <is>
          <t>–</t>
        </is>
      </c>
      <c r="K89" s="12" t="inlineStr">
        <is>
          <t>–</t>
        </is>
      </c>
      <c r="L89" s="12" t="inlineStr">
        <is>
          <t>–</t>
        </is>
      </c>
      <c r="M89" s="15" t="n"/>
      <c r="N89" s="15">
        <f>IF(OR(D89="",M89=""),"",D89*M89)</f>
        <v/>
      </c>
      <c r="O89" s="18" t="inlineStr">
        <is>
          <t>CHECK</t>
        </is>
      </c>
      <c r="P89" s="13" t="inlineStr">
        <is>
          <t>Matched by file name only; confirm.</t>
        </is>
      </c>
    </row>
    <row r="90">
      <c r="A90" s="12" t="inlineStr">
        <is>
          <t>10.16</t>
        </is>
      </c>
      <c r="B90" s="13" t="inlineStr">
        <is>
          <t>Belt clamp back (BCB)</t>
        </is>
      </c>
      <c r="C90" s="13" t="inlineStr">
        <is>
          <t>Belt_Clamp_Teeth.stl</t>
        </is>
      </c>
      <c r="D90" s="17" t="n">
        <v>1</v>
      </c>
      <c r="E90" s="12" t="n">
        <v>1</v>
      </c>
      <c r="F90" s="13" t="inlineStr">
        <is>
          <t>Carriage</t>
        </is>
      </c>
      <c r="G90" s="13" t="inlineStr">
        <is>
          <t>Print in-house</t>
        </is>
      </c>
      <c r="H90" s="14" t="inlineStr">
        <is>
          <t>Link</t>
        </is>
      </c>
      <c r="I90" s="12" t="inlineStr">
        <is>
          <t>Repo path (not opened)</t>
        </is>
      </c>
      <c r="J90" s="12" t="inlineStr">
        <is>
          <t>–</t>
        </is>
      </c>
      <c r="K90" s="12" t="inlineStr">
        <is>
          <t>–</t>
        </is>
      </c>
      <c r="L90" s="12" t="inlineStr">
        <is>
          <t>–</t>
        </is>
      </c>
      <c r="M90" s="15" t="n"/>
      <c r="N90" s="15">
        <f>IF(OR(D90="",M90=""),"",D90*M90)</f>
        <v/>
      </c>
      <c r="O90" s="18" t="inlineStr">
        <is>
          <t>CHECK</t>
        </is>
      </c>
      <c r="P90" s="13" t="inlineStr">
        <is>
          <t>Matched by file name only; confirm.</t>
        </is>
      </c>
    </row>
    <row r="91">
      <c r="A91" s="12" t="inlineStr">
        <is>
          <t>10.17</t>
        </is>
      </c>
      <c r="B91" s="13" t="inlineStr">
        <is>
          <t>Tensioner housing (T)</t>
        </is>
      </c>
      <c r="C91" s="13" t="inlineStr">
        <is>
          <t>Tensioner_Housing.stl</t>
        </is>
      </c>
      <c r="D91" s="17" t="n">
        <v>1</v>
      </c>
      <c r="E91" s="12" t="n">
        <v>1</v>
      </c>
      <c r="F91" s="13" t="inlineStr">
        <is>
          <t>Carriage</t>
        </is>
      </c>
      <c r="G91" s="13" t="inlineStr">
        <is>
          <t>Print in-house</t>
        </is>
      </c>
      <c r="H91" s="14" t="inlineStr">
        <is>
          <t>Link</t>
        </is>
      </c>
      <c r="I91" s="12" t="inlineStr">
        <is>
          <t>Repo path (not opened)</t>
        </is>
      </c>
      <c r="J91" s="12" t="inlineStr">
        <is>
          <t>–</t>
        </is>
      </c>
      <c r="K91" s="12" t="inlineStr">
        <is>
          <t>–</t>
        </is>
      </c>
      <c r="L91" s="12" t="inlineStr">
        <is>
          <t>–</t>
        </is>
      </c>
      <c r="M91" s="15" t="n"/>
      <c r="N91" s="15">
        <f>IF(OR(D91="",M91=""),"",D91*M91)</f>
        <v/>
      </c>
      <c r="O91" s="18" t="inlineStr">
        <is>
          <t>CHECK</t>
        </is>
      </c>
      <c r="P91" s="13" t="inlineStr">
        <is>
          <t>Matched by file name only; confirm.</t>
        </is>
      </c>
    </row>
    <row r="92">
      <c r="A92" s="12" t="inlineStr">
        <is>
          <t>10.18</t>
        </is>
      </c>
      <c r="B92" s="13" t="inlineStr">
        <is>
          <t>Tensioner bit</t>
        </is>
      </c>
      <c r="C92" s="13" t="inlineStr">
        <is>
          <t>2xTensioner_bit.stl</t>
        </is>
      </c>
      <c r="D92" s="17" t="n">
        <v>2</v>
      </c>
      <c r="E92" s="12" t="n"/>
      <c r="F92" s="13" t="inlineStr">
        <is>
          <t>Carriage</t>
        </is>
      </c>
      <c r="G92" s="13" t="inlineStr">
        <is>
          <t>Print in-house</t>
        </is>
      </c>
      <c r="H92" s="14" t="inlineStr">
        <is>
          <t>Link</t>
        </is>
      </c>
      <c r="I92" s="12" t="inlineStr">
        <is>
          <t>Repo path (not opened)</t>
        </is>
      </c>
      <c r="J92" s="12" t="inlineStr">
        <is>
          <t>–</t>
        </is>
      </c>
      <c r="K92" s="12" t="inlineStr">
        <is>
          <t>–</t>
        </is>
      </c>
      <c r="L92" s="12" t="inlineStr">
        <is>
          <t>–</t>
        </is>
      </c>
      <c r="M92" s="15" t="n"/>
      <c r="N92" s="15">
        <f>IF(OR(D92="",M92=""),"",D92*M92)</f>
        <v/>
      </c>
      <c r="O92" s="18" t="inlineStr">
        <is>
          <t>CHECK</t>
        </is>
      </c>
      <c r="P92" s="13" t="inlineStr">
        <is>
          <t>File name says 2 off. Not in old BOM.</t>
        </is>
      </c>
    </row>
    <row r="93">
      <c r="A93" s="12" t="inlineStr">
        <is>
          <t>10.19</t>
        </is>
      </c>
      <c r="B93" s="13" t="inlineStr">
        <is>
          <t>Lower energy chain bracket</t>
        </is>
      </c>
      <c r="C93" s="13" t="inlineStr">
        <is>
          <t>No STL found</t>
        </is>
      </c>
      <c r="D93" s="17" t="n">
        <v>1</v>
      </c>
      <c r="E93" s="12" t="n">
        <v>1</v>
      </c>
      <c r="F93" s="13" t="inlineStr">
        <is>
          <t>Carriage</t>
        </is>
      </c>
      <c r="G93" s="13" t="inlineStr">
        <is>
          <t>Print in-house</t>
        </is>
      </c>
      <c r="H93" s="12" t="inlineStr">
        <is>
          <t>–</t>
        </is>
      </c>
      <c r="I93" s="12" t="inlineStr">
        <is>
          <t>–</t>
        </is>
      </c>
      <c r="J93" s="12" t="inlineStr">
        <is>
          <t>–</t>
        </is>
      </c>
      <c r="K93" s="12" t="inlineStr">
        <is>
          <t>–</t>
        </is>
      </c>
      <c r="L93" s="12" t="inlineStr">
        <is>
          <t>–</t>
        </is>
      </c>
      <c r="M93" s="15" t="n"/>
      <c r="N93" s="15">
        <f>IF(OR(D93="",M93=""),"",D93*M93)</f>
        <v/>
      </c>
      <c r="O93" s="18" t="inlineStr">
        <is>
          <t>CHECK</t>
        </is>
      </c>
      <c r="P93" s="13" t="inlineStr">
        <is>
          <t>Add the STL to the repo or tell me which file it is.</t>
        </is>
      </c>
    </row>
    <row r="94">
      <c r="A94" s="12" t="inlineStr">
        <is>
          <t>10.20</t>
        </is>
      </c>
      <c r="B94" s="13" t="inlineStr">
        <is>
          <t>Minimal pen holder (MPH)</t>
        </is>
      </c>
      <c r="C94" s="13" t="inlineStr">
        <is>
          <t>Pen_Holder_Front.stl</t>
        </is>
      </c>
      <c r="D94" s="17" t="n">
        <v>1</v>
      </c>
      <c r="E94" s="12" t="n">
        <v>1</v>
      </c>
      <c r="F94" s="13" t="inlineStr">
        <is>
          <t>Tool head</t>
        </is>
      </c>
      <c r="G94" s="13" t="inlineStr">
        <is>
          <t>Print in-house</t>
        </is>
      </c>
      <c r="H94" s="14" t="inlineStr">
        <is>
          <t>Link</t>
        </is>
      </c>
      <c r="I94" s="12" t="inlineStr">
        <is>
          <t>Repo path (not opened)</t>
        </is>
      </c>
      <c r="J94" s="12" t="inlineStr">
        <is>
          <t>–</t>
        </is>
      </c>
      <c r="K94" s="12" t="inlineStr">
        <is>
          <t>–</t>
        </is>
      </c>
      <c r="L94" s="12" t="inlineStr">
        <is>
          <t>–</t>
        </is>
      </c>
      <c r="M94" s="15" t="n"/>
      <c r="N94" s="15">
        <f>IF(OR(D94="",M94=""),"",D94*M94)</f>
        <v/>
      </c>
      <c r="O94" s="18" t="inlineStr">
        <is>
          <t>CHECK</t>
        </is>
      </c>
      <c r="P94" s="13" t="inlineStr">
        <is>
          <t>Old pen holder. The stepper head uses stepper_pen_mount + a TPU pen insert instead, so this may be superseded.</t>
        </is>
      </c>
    </row>
    <row r="95">
      <c r="A95" s="12" t="inlineStr">
        <is>
          <t>10.21</t>
        </is>
      </c>
      <c r="B95" s="13" t="inlineStr">
        <is>
          <t>Pen clip block</t>
        </is>
      </c>
      <c r="C95" s="13" t="inlineStr">
        <is>
          <t>Pen_Clip_Block.stl</t>
        </is>
      </c>
      <c r="D95" s="17" t="n">
        <v>1</v>
      </c>
      <c r="E95" s="12" t="n"/>
      <c r="F95" s="13" t="inlineStr">
        <is>
          <t>Tool head</t>
        </is>
      </c>
      <c r="G95" s="13" t="inlineStr">
        <is>
          <t>Print in-house</t>
        </is>
      </c>
      <c r="H95" s="14" t="inlineStr">
        <is>
          <t>Link</t>
        </is>
      </c>
      <c r="I95" s="12" t="inlineStr">
        <is>
          <t>Repo path (not opened)</t>
        </is>
      </c>
      <c r="J95" s="12" t="inlineStr">
        <is>
          <t>–</t>
        </is>
      </c>
      <c r="K95" s="12" t="inlineStr">
        <is>
          <t>–</t>
        </is>
      </c>
      <c r="L95" s="12" t="inlineStr">
        <is>
          <t>–</t>
        </is>
      </c>
      <c r="M95" s="15" t="n"/>
      <c r="N95" s="15">
        <f>IF(OR(D95="",M95=""),"",D95*M95)</f>
        <v/>
      </c>
      <c r="O95" s="18" t="inlineStr">
        <is>
          <t>CHECK</t>
        </is>
      </c>
      <c r="P95" s="13" t="inlineStr">
        <is>
          <t>Part of the older pen holder (not in old BOM). Probably superseded by stepper_pen_mount; confirm.</t>
        </is>
      </c>
    </row>
    <row r="96">
      <c r="A96" s="12" t="inlineStr">
        <is>
          <t>10.22</t>
        </is>
      </c>
      <c r="B96" s="13" t="inlineStr">
        <is>
          <t>Pen clip latch</t>
        </is>
      </c>
      <c r="C96" s="13" t="inlineStr">
        <is>
          <t>Pen_Clip_Latch.stl</t>
        </is>
      </c>
      <c r="D96" s="17" t="n">
        <v>1</v>
      </c>
      <c r="E96" s="12" t="n"/>
      <c r="F96" s="13" t="inlineStr">
        <is>
          <t>Tool head</t>
        </is>
      </c>
      <c r="G96" s="13" t="inlineStr">
        <is>
          <t>Print in-house</t>
        </is>
      </c>
      <c r="H96" s="14" t="inlineStr">
        <is>
          <t>Link</t>
        </is>
      </c>
      <c r="I96" s="12" t="inlineStr">
        <is>
          <t>Repo path (not opened)</t>
        </is>
      </c>
      <c r="J96" s="12" t="inlineStr">
        <is>
          <t>–</t>
        </is>
      </c>
      <c r="K96" s="12" t="inlineStr">
        <is>
          <t>–</t>
        </is>
      </c>
      <c r="L96" s="12" t="inlineStr">
        <is>
          <t>–</t>
        </is>
      </c>
      <c r="M96" s="15" t="n"/>
      <c r="N96" s="15">
        <f>IF(OR(D96="",M96=""),"",D96*M96)</f>
        <v/>
      </c>
      <c r="O96" s="18" t="inlineStr">
        <is>
          <t>CHECK</t>
        </is>
      </c>
      <c r="P96" s="13" t="inlineStr">
        <is>
          <t>Part of the older pen holder (not in old BOM). Probably superseded by stepper_pen_mount; confirm.</t>
        </is>
      </c>
    </row>
    <row r="97">
      <c r="A97" s="12" t="inlineStr">
        <is>
          <t>10.23</t>
        </is>
      </c>
      <c r="B97" s="13" t="inlineStr">
        <is>
          <t>Pen clip link</t>
        </is>
      </c>
      <c r="C97" s="13" t="inlineStr">
        <is>
          <t>Pen_Clip_Link.stl</t>
        </is>
      </c>
      <c r="D97" s="17" t="n">
        <v>1</v>
      </c>
      <c r="E97" s="12" t="n"/>
      <c r="F97" s="13" t="inlineStr">
        <is>
          <t>Tool head</t>
        </is>
      </c>
      <c r="G97" s="13" t="inlineStr">
        <is>
          <t>Print in-house</t>
        </is>
      </c>
      <c r="H97" s="14" t="inlineStr">
        <is>
          <t>Link</t>
        </is>
      </c>
      <c r="I97" s="12" t="inlineStr">
        <is>
          <t>Repo path (not opened)</t>
        </is>
      </c>
      <c r="J97" s="12" t="inlineStr">
        <is>
          <t>–</t>
        </is>
      </c>
      <c r="K97" s="12" t="inlineStr">
        <is>
          <t>–</t>
        </is>
      </c>
      <c r="L97" s="12" t="inlineStr">
        <is>
          <t>–</t>
        </is>
      </c>
      <c r="M97" s="15" t="n"/>
      <c r="N97" s="15">
        <f>IF(OR(D97="",M97=""),"",D97*M97)</f>
        <v/>
      </c>
      <c r="O97" s="18" t="inlineStr">
        <is>
          <t>CHECK</t>
        </is>
      </c>
      <c r="P97" s="13" t="inlineStr">
        <is>
          <t>Part of the older pen holder (not in old BOM). Probably superseded by stepper_pen_mount; confirm.</t>
        </is>
      </c>
    </row>
    <row r="98">
      <c r="A98" s="12" t="inlineStr">
        <is>
          <t>10.24</t>
        </is>
      </c>
      <c r="B98" s="13" t="inlineStr">
        <is>
          <t>Electronics enclosure (EE)</t>
        </is>
      </c>
      <c r="C98" s="13" t="inlineStr">
        <is>
          <t>Electronics Enclosure.stl</t>
        </is>
      </c>
      <c r="D98" s="12" t="n">
        <v>1</v>
      </c>
      <c r="E98" s="12" t="n">
        <v>1</v>
      </c>
      <c r="F98" s="13" t="inlineStr">
        <is>
          <t>Electronics</t>
        </is>
      </c>
      <c r="G98" s="13" t="inlineStr">
        <is>
          <t>Print in-house</t>
        </is>
      </c>
      <c r="H98" s="14" t="inlineStr">
        <is>
          <t>Link</t>
        </is>
      </c>
      <c r="I98" s="12" t="inlineStr">
        <is>
          <t>Repo path (not opened)</t>
        </is>
      </c>
      <c r="J98" s="12" t="inlineStr">
        <is>
          <t>–</t>
        </is>
      </c>
      <c r="K98" s="12" t="inlineStr">
        <is>
          <t>–</t>
        </is>
      </c>
      <c r="L98" s="12" t="inlineStr">
        <is>
          <t>–</t>
        </is>
      </c>
      <c r="M98" s="15" t="n"/>
      <c r="N98" s="15">
        <f>IF(OR(D98="",M98=""),"",D98*M98)</f>
        <v/>
      </c>
      <c r="O98" s="16" t="inlineStr">
        <is>
          <t>OK</t>
        </is>
      </c>
      <c r="P98" s="13" t="n"/>
    </row>
    <row r="99">
      <c r="A99" s="12" t="inlineStr">
        <is>
          <t>10.25</t>
        </is>
      </c>
      <c r="B99" s="13" t="inlineStr">
        <is>
          <t>Electronics enclosure top plate (EETP)</t>
        </is>
      </c>
      <c r="C99" s="13" t="inlineStr">
        <is>
          <t>No STL found</t>
        </is>
      </c>
      <c r="D99" s="17" t="n">
        <v>1</v>
      </c>
      <c r="E99" s="12" t="n">
        <v>1</v>
      </c>
      <c r="F99" s="13" t="inlineStr">
        <is>
          <t>Electronics</t>
        </is>
      </c>
      <c r="G99" s="13" t="inlineStr">
        <is>
          <t>Print in-house</t>
        </is>
      </c>
      <c r="H99" s="12" t="inlineStr">
        <is>
          <t>–</t>
        </is>
      </c>
      <c r="I99" s="12" t="inlineStr">
        <is>
          <t>–</t>
        </is>
      </c>
      <c r="J99" s="12" t="inlineStr">
        <is>
          <t>–</t>
        </is>
      </c>
      <c r="K99" s="12" t="inlineStr">
        <is>
          <t>–</t>
        </is>
      </c>
      <c r="L99" s="12" t="inlineStr">
        <is>
          <t>–</t>
        </is>
      </c>
      <c r="M99" s="15" t="n"/>
      <c r="N99" s="15">
        <f>IF(OR(D99="",M99=""),"",D99*M99)</f>
        <v/>
      </c>
      <c r="O99" s="18" t="inlineStr">
        <is>
          <t>CHECK</t>
        </is>
      </c>
      <c r="P99" s="13" t="inlineStr">
        <is>
          <t>Add the STL to the repo or tell me which file it is.</t>
        </is>
      </c>
    </row>
    <row r="100">
      <c r="A100" s="12" t="inlineStr">
        <is>
          <t>10.26</t>
        </is>
      </c>
      <c r="B100" s="13" t="inlineStr">
        <is>
          <t>Power enclosure box</t>
        </is>
      </c>
      <c r="C100" s="13" t="inlineStr">
        <is>
          <t>Power_Enclosure_Box.stl</t>
        </is>
      </c>
      <c r="D100" s="17" t="n">
        <v>1</v>
      </c>
      <c r="E100" s="12" t="n"/>
      <c r="F100" s="13" t="inlineStr">
        <is>
          <t>Power</t>
        </is>
      </c>
      <c r="G100" s="13" t="inlineStr">
        <is>
          <t>Print in-house</t>
        </is>
      </c>
      <c r="H100" s="14" t="inlineStr">
        <is>
          <t>Link</t>
        </is>
      </c>
      <c r="I100" s="12" t="inlineStr">
        <is>
          <t>Repo path (not opened)</t>
        </is>
      </c>
      <c r="J100" s="12" t="inlineStr">
        <is>
          <t>–</t>
        </is>
      </c>
      <c r="K100" s="12" t="inlineStr">
        <is>
          <t>–</t>
        </is>
      </c>
      <c r="L100" s="12" t="inlineStr">
        <is>
          <t>–</t>
        </is>
      </c>
      <c r="M100" s="15" t="n"/>
      <c r="N100" s="15">
        <f>IF(OR(D100="",M100=""),"",D100*M100)</f>
        <v/>
      </c>
      <c r="O100" s="19" t="inlineStr">
        <is>
          <t>NEW</t>
        </is>
      </c>
      <c r="P100" s="13" t="inlineStr">
        <is>
          <t>Not in old BOM; confirm it's part of the A2 build.</t>
        </is>
      </c>
    </row>
    <row r="101">
      <c r="A101" s="12" t="inlineStr">
        <is>
          <t>10.27</t>
        </is>
      </c>
      <c r="B101" s="13" t="inlineStr">
        <is>
          <t>Power enclosure back</t>
        </is>
      </c>
      <c r="C101" s="13" t="inlineStr">
        <is>
          <t>Power_Enclosure_Back.stl</t>
        </is>
      </c>
      <c r="D101" s="17" t="n">
        <v>1</v>
      </c>
      <c r="E101" s="12" t="n"/>
      <c r="F101" s="13" t="inlineStr">
        <is>
          <t>Power</t>
        </is>
      </c>
      <c r="G101" s="13" t="inlineStr">
        <is>
          <t>Print in-house</t>
        </is>
      </c>
      <c r="H101" s="14" t="inlineStr">
        <is>
          <t>Link</t>
        </is>
      </c>
      <c r="I101" s="12" t="inlineStr">
        <is>
          <t>Repo path (not opened)</t>
        </is>
      </c>
      <c r="J101" s="12" t="inlineStr">
        <is>
          <t>–</t>
        </is>
      </c>
      <c r="K101" s="12" t="inlineStr">
        <is>
          <t>–</t>
        </is>
      </c>
      <c r="L101" s="12" t="inlineStr">
        <is>
          <t>–</t>
        </is>
      </c>
      <c r="M101" s="15" t="n"/>
      <c r="N101" s="15">
        <f>IF(OR(D101="",M101=""),"",D101*M101)</f>
        <v/>
      </c>
      <c r="O101" s="19" t="inlineStr">
        <is>
          <t>NEW</t>
        </is>
      </c>
      <c r="P101" s="13" t="inlineStr">
        <is>
          <t>As above.</t>
        </is>
      </c>
    </row>
    <row r="102">
      <c r="A102" s="12" t="inlineStr">
        <is>
          <t>10.28</t>
        </is>
      </c>
      <c r="B102" s="13" t="inlineStr">
        <is>
          <t>X endstop top</t>
        </is>
      </c>
      <c r="C102" s="13" t="inlineStr">
        <is>
          <t>Xx_Endstop_Top .stl</t>
        </is>
      </c>
      <c r="D102" s="17" t="n">
        <v>1</v>
      </c>
      <c r="E102" s="12" t="n"/>
      <c r="F102" s="13" t="inlineStr">
        <is>
          <t>X endstop</t>
        </is>
      </c>
      <c r="G102" s="13" t="inlineStr">
        <is>
          <t>Print in-house</t>
        </is>
      </c>
      <c r="H102" s="14" t="inlineStr">
        <is>
          <t>Link</t>
        </is>
      </c>
      <c r="I102" s="12" t="inlineStr">
        <is>
          <t>Repo path (not opened)</t>
        </is>
      </c>
      <c r="J102" s="12" t="inlineStr">
        <is>
          <t>–</t>
        </is>
      </c>
      <c r="K102" s="12" t="inlineStr">
        <is>
          <t>–</t>
        </is>
      </c>
      <c r="L102" s="12" t="inlineStr">
        <is>
          <t>–</t>
        </is>
      </c>
      <c r="M102" s="15" t="n"/>
      <c r="N102" s="15">
        <f>IF(OR(D102="",M102=""),"",D102*M102)</f>
        <v/>
      </c>
      <c r="O102" s="19" t="inlineStr">
        <is>
          <t>NEW</t>
        </is>
      </c>
      <c r="P102" s="13" t="inlineStr">
        <is>
          <t>Not in old BOM. File name has a trailing space.</t>
        </is>
      </c>
    </row>
    <row r="103">
      <c r="A103" s="12" t="inlineStr">
        <is>
          <t>10.29</t>
        </is>
      </c>
      <c r="B103" s="13" t="inlineStr">
        <is>
          <t>X endstop bottom</t>
        </is>
      </c>
      <c r="C103" s="13" t="inlineStr">
        <is>
          <t>Xx_Endstop_Bottom.stl</t>
        </is>
      </c>
      <c r="D103" s="17" t="n">
        <v>1</v>
      </c>
      <c r="E103" s="12" t="n"/>
      <c r="F103" s="13" t="inlineStr">
        <is>
          <t>X endstop</t>
        </is>
      </c>
      <c r="G103" s="13" t="inlineStr">
        <is>
          <t>Print in-house</t>
        </is>
      </c>
      <c r="H103" s="14" t="inlineStr">
        <is>
          <t>Link</t>
        </is>
      </c>
      <c r="I103" s="12" t="inlineStr">
        <is>
          <t>Repo path (not opened)</t>
        </is>
      </c>
      <c r="J103" s="12" t="inlineStr">
        <is>
          <t>–</t>
        </is>
      </c>
      <c r="K103" s="12" t="inlineStr">
        <is>
          <t>–</t>
        </is>
      </c>
      <c r="L103" s="12" t="inlineStr">
        <is>
          <t>–</t>
        </is>
      </c>
      <c r="M103" s="15" t="n"/>
      <c r="N103" s="15">
        <f>IF(OR(D103="",M103=""),"",D103*M103)</f>
        <v/>
      </c>
      <c r="O103" s="19" t="inlineStr">
        <is>
          <t>NEW</t>
        </is>
      </c>
      <c r="P103" s="13" t="inlineStr">
        <is>
          <t>Not in old BOM.</t>
        </is>
      </c>
    </row>
    <row r="104">
      <c r="A104" s="12" t="inlineStr">
        <is>
          <t>10.30</t>
        </is>
      </c>
      <c r="B104" s="13" t="inlineStr">
        <is>
          <t>Y endstop mount</t>
        </is>
      </c>
      <c r="C104" s="13" t="inlineStr">
        <is>
          <t>Y_Endstop_Mount.stl</t>
        </is>
      </c>
      <c r="D104" s="17" t="n">
        <v>1</v>
      </c>
      <c r="E104" s="12" t="n"/>
      <c r="F104" s="13" t="inlineStr">
        <is>
          <t>Y endstop</t>
        </is>
      </c>
      <c r="G104" s="13" t="inlineStr">
        <is>
          <t>Print in-house</t>
        </is>
      </c>
      <c r="H104" s="14" t="inlineStr">
        <is>
          <t>Link</t>
        </is>
      </c>
      <c r="I104" s="12" t="inlineStr">
        <is>
          <t>Repo path (not opened)</t>
        </is>
      </c>
      <c r="J104" s="12" t="inlineStr">
        <is>
          <t>–</t>
        </is>
      </c>
      <c r="K104" s="12" t="inlineStr">
        <is>
          <t>–</t>
        </is>
      </c>
      <c r="L104" s="12" t="inlineStr">
        <is>
          <t>–</t>
        </is>
      </c>
      <c r="M104" s="15" t="n"/>
      <c r="N104" s="15">
        <f>IF(OR(D104="",M104=""),"",D104*M104)</f>
        <v/>
      </c>
      <c r="O104" s="19" t="inlineStr">
        <is>
          <t>NEW</t>
        </is>
      </c>
      <c r="P104" s="13" t="inlineStr">
        <is>
          <t>'Y Endstop mount.stl' is a second copy with a different name.</t>
        </is>
      </c>
    </row>
    <row r="105">
      <c r="A105" s="12" t="inlineStr">
        <is>
          <t>10.31</t>
        </is>
      </c>
      <c r="B105" s="13" t="inlineStr">
        <is>
          <t>TPU bumper</t>
        </is>
      </c>
      <c r="C105" s="13" t="inlineStr">
        <is>
          <t>8xTPU_Bumper.stl</t>
        </is>
      </c>
      <c r="D105" s="17" t="n">
        <v>8</v>
      </c>
      <c r="E105" s="12" t="n"/>
      <c r="F105" s="13" t="inlineStr">
        <is>
          <t>Frame / base</t>
        </is>
      </c>
      <c r="G105" s="13" t="inlineStr">
        <is>
          <t>Print in-house</t>
        </is>
      </c>
      <c r="H105" s="14" t="inlineStr">
        <is>
          <t>Link</t>
        </is>
      </c>
      <c r="I105" s="12" t="inlineStr">
        <is>
          <t>Repo path (not opened)</t>
        </is>
      </c>
      <c r="J105" s="12" t="inlineStr">
        <is>
          <t>–</t>
        </is>
      </c>
      <c r="K105" s="12" t="inlineStr">
        <is>
          <t>–</t>
        </is>
      </c>
      <c r="L105" s="12" t="inlineStr">
        <is>
          <t>–</t>
        </is>
      </c>
      <c r="M105" s="15" t="n"/>
      <c r="N105" s="15">
        <f>IF(OR(D105="",M105=""),"",D105*M105)</f>
        <v/>
      </c>
      <c r="O105" s="19" t="inlineStr">
        <is>
          <t>NEW</t>
        </is>
      </c>
      <c r="P105" s="13" t="inlineStr">
        <is>
          <t>Print in TPU. File name says 8 off (a 3mf and a single TPU_Bumper.stl also exist).</t>
        </is>
      </c>
    </row>
    <row r="106">
      <c r="A106" s="12" t="inlineStr">
        <is>
          <t>10.32</t>
        </is>
      </c>
      <c r="B106" s="13" t="inlineStr">
        <is>
          <t>Cable cap for extrusion</t>
        </is>
      </c>
      <c r="C106" s="13" t="inlineStr">
        <is>
          <t>Cable Cap for Extrusion.stl</t>
        </is>
      </c>
      <c r="D106" s="17" t="n">
        <v>1</v>
      </c>
      <c r="E106" s="12" t="n"/>
      <c r="F106" s="13" t="inlineStr">
        <is>
          <t>Frame</t>
        </is>
      </c>
      <c r="G106" s="13" t="inlineStr">
        <is>
          <t>Print in-house</t>
        </is>
      </c>
      <c r="H106" s="14" t="inlineStr">
        <is>
          <t>Link</t>
        </is>
      </c>
      <c r="I106" s="12" t="inlineStr">
        <is>
          <t>Repo path (not opened)</t>
        </is>
      </c>
      <c r="J106" s="12" t="inlineStr">
        <is>
          <t>–</t>
        </is>
      </c>
      <c r="K106" s="12" t="inlineStr">
        <is>
          <t>–</t>
        </is>
      </c>
      <c r="L106" s="12" t="inlineStr">
        <is>
          <t>–</t>
        </is>
      </c>
      <c r="M106" s="15" t="n"/>
      <c r="N106" s="15">
        <f>IF(OR(D106="",M106=""),"",D106*M106)</f>
        <v/>
      </c>
      <c r="O106" s="19" t="inlineStr">
        <is>
          <t>NEW</t>
        </is>
      </c>
      <c r="P106" s="13" t="inlineStr">
        <is>
          <t>Qty not known; set it.</t>
        </is>
      </c>
    </row>
    <row r="107">
      <c r="A107" s="12" t="inlineStr">
        <is>
          <t>10.33</t>
        </is>
      </c>
      <c r="B107" s="13" t="inlineStr">
        <is>
          <t>Clip mount</t>
        </is>
      </c>
      <c r="C107" s="13" t="inlineStr">
        <is>
          <t>skinnyClipMount.stl</t>
        </is>
      </c>
      <c r="D107" s="17" t="n">
        <v>1</v>
      </c>
      <c r="E107" s="12" t="n"/>
      <c r="F107" s="13" t="inlineStr">
        <is>
          <t>Unknown</t>
        </is>
      </c>
      <c r="G107" s="13" t="inlineStr">
        <is>
          <t>Print in-house</t>
        </is>
      </c>
      <c r="H107" s="14" t="inlineStr">
        <is>
          <t>Link</t>
        </is>
      </c>
      <c r="I107" s="12" t="inlineStr">
        <is>
          <t>Repo path (not opened)</t>
        </is>
      </c>
      <c r="J107" s="12" t="inlineStr">
        <is>
          <t>–</t>
        </is>
      </c>
      <c r="K107" s="12" t="inlineStr">
        <is>
          <t>–</t>
        </is>
      </c>
      <c r="L107" s="12" t="inlineStr">
        <is>
          <t>–</t>
        </is>
      </c>
      <c r="M107" s="15" t="n"/>
      <c r="N107" s="15">
        <f>IF(OR(D107="",M107=""),"",D107*M107)</f>
        <v/>
      </c>
      <c r="O107" s="19" t="inlineStr">
        <is>
          <t>NEW</t>
        </is>
      </c>
      <c r="P107" s="13" t="inlineStr">
        <is>
          <t>Purpose unclear from the file name; confirm or drop.</t>
        </is>
      </c>
    </row>
    <row r="108">
      <c r="A108" s="12" t="inlineStr">
        <is>
          <t>10.34</t>
        </is>
      </c>
      <c r="B108" s="13" t="inlineStr">
        <is>
          <t>Stepper tool carriage</t>
        </is>
      </c>
      <c r="C108" s="13" t="inlineStr">
        <is>
          <t>stepper_tool_carriage.stl</t>
        </is>
      </c>
      <c r="D108" s="17" t="n">
        <v>1</v>
      </c>
      <c r="E108" s="12" t="n"/>
      <c r="F108" s="13" t="inlineStr">
        <is>
          <t>Tool head (stepper)</t>
        </is>
      </c>
      <c r="G108" s="13" t="inlineStr">
        <is>
          <t>Print in-house</t>
        </is>
      </c>
      <c r="H108" s="14" t="inlineStr">
        <is>
          <t>Link</t>
        </is>
      </c>
      <c r="I108" s="12" t="inlineStr">
        <is>
          <t>Repo path (not opened)</t>
        </is>
      </c>
      <c r="J108" s="12" t="inlineStr">
        <is>
          <t>–</t>
        </is>
      </c>
      <c r="K108" s="12" t="inlineStr">
        <is>
          <t>–</t>
        </is>
      </c>
      <c r="L108" s="12" t="inlineStr">
        <is>
          <t>–</t>
        </is>
      </c>
      <c r="M108" s="15" t="n"/>
      <c r="N108" s="15">
        <f>IF(OR(D108="",M108=""),"",D108*M108)</f>
        <v/>
      </c>
      <c r="O108" s="19" t="inlineStr">
        <is>
          <t>NEW</t>
        </is>
      </c>
      <c r="P108" s="13" t="inlineStr">
        <is>
          <t>Print in ABS (per the Z-stepper README).</t>
        </is>
      </c>
    </row>
    <row r="109">
      <c r="A109" s="12" t="inlineStr">
        <is>
          <t>10.35</t>
        </is>
      </c>
      <c r="B109" s="13" t="inlineStr">
        <is>
          <t>Stepper pen mount</t>
        </is>
      </c>
      <c r="C109" s="13" t="inlineStr">
        <is>
          <t>stepper_pen_mount.stl</t>
        </is>
      </c>
      <c r="D109" s="17" t="n">
        <v>1</v>
      </c>
      <c r="E109" s="12" t="n"/>
      <c r="F109" s="13" t="inlineStr">
        <is>
          <t>Tool head (stepper)</t>
        </is>
      </c>
      <c r="G109" s="13" t="inlineStr">
        <is>
          <t>Print in-house</t>
        </is>
      </c>
      <c r="H109" s="14" t="inlineStr">
        <is>
          <t>Link</t>
        </is>
      </c>
      <c r="I109" s="12" t="inlineStr">
        <is>
          <t>Repo path (not opened)</t>
        </is>
      </c>
      <c r="J109" s="12" t="inlineStr">
        <is>
          <t>–</t>
        </is>
      </c>
      <c r="K109" s="12" t="inlineStr">
        <is>
          <t>–</t>
        </is>
      </c>
      <c r="L109" s="12" t="inlineStr">
        <is>
          <t>–</t>
        </is>
      </c>
      <c r="M109" s="15" t="n"/>
      <c r="N109" s="15">
        <f>IF(OR(D109="",M109=""),"",D109*M109)</f>
        <v/>
      </c>
      <c r="O109" s="19" t="inlineStr">
        <is>
          <t>NEW</t>
        </is>
      </c>
      <c r="P109" s="13" t="inlineStr">
        <is>
          <t>Print in ABS.</t>
        </is>
      </c>
    </row>
    <row r="110">
      <c r="A110" s="12" t="inlineStr">
        <is>
          <t>10.36</t>
        </is>
      </c>
      <c r="B110" s="13" t="inlineStr">
        <is>
          <t>Stepper pen mount clamp</t>
        </is>
      </c>
      <c r="C110" s="13" t="inlineStr">
        <is>
          <t>stepper_pen_mount_clamp.stl</t>
        </is>
      </c>
      <c r="D110" s="17" t="n">
        <v>1</v>
      </c>
      <c r="E110" s="12" t="n"/>
      <c r="F110" s="13" t="inlineStr">
        <is>
          <t>Tool head (stepper)</t>
        </is>
      </c>
      <c r="G110" s="13" t="inlineStr">
        <is>
          <t>Print in-house</t>
        </is>
      </c>
      <c r="H110" s="14" t="inlineStr">
        <is>
          <t>Link</t>
        </is>
      </c>
      <c r="I110" s="12" t="inlineStr">
        <is>
          <t>Repo path (not opened)</t>
        </is>
      </c>
      <c r="J110" s="12" t="inlineStr">
        <is>
          <t>–</t>
        </is>
      </c>
      <c r="K110" s="12" t="inlineStr">
        <is>
          <t>–</t>
        </is>
      </c>
      <c r="L110" s="12" t="inlineStr">
        <is>
          <t>–</t>
        </is>
      </c>
      <c r="M110" s="15" t="n"/>
      <c r="N110" s="15">
        <f>IF(OR(D110="",M110=""),"",D110*M110)</f>
        <v/>
      </c>
      <c r="O110" s="19" t="inlineStr">
        <is>
          <t>NEW</t>
        </is>
      </c>
      <c r="P110" s="13" t="inlineStr">
        <is>
          <t>Print in ABS.</t>
        </is>
      </c>
    </row>
    <row r="111">
      <c r="A111" s="12" t="inlineStr">
        <is>
          <t>10.37</t>
        </is>
      </c>
      <c r="B111" s="13" t="inlineStr">
        <is>
          <t>Stepper belt pulley</t>
        </is>
      </c>
      <c r="C111" s="13" t="inlineStr">
        <is>
          <t>stepper belt pulley.stl</t>
        </is>
      </c>
      <c r="D111" s="17" t="n">
        <v>1</v>
      </c>
      <c r="E111" s="12" t="n"/>
      <c r="F111" s="13" t="inlineStr">
        <is>
          <t>Tool head (stepper)</t>
        </is>
      </c>
      <c r="G111" s="13" t="inlineStr">
        <is>
          <t>Print in-house</t>
        </is>
      </c>
      <c r="H111" s="14" t="inlineStr">
        <is>
          <t>Link</t>
        </is>
      </c>
      <c r="I111" s="12" t="inlineStr">
        <is>
          <t>Repo path (not opened)</t>
        </is>
      </c>
      <c r="J111" s="12" t="inlineStr">
        <is>
          <t>–</t>
        </is>
      </c>
      <c r="K111" s="12" t="inlineStr">
        <is>
          <t>–</t>
        </is>
      </c>
      <c r="L111" s="12" t="inlineStr">
        <is>
          <t>–</t>
        </is>
      </c>
      <c r="M111" s="15" t="n"/>
      <c r="N111" s="15">
        <f>IF(OR(D111="",M111=""),"",D111*M111)</f>
        <v/>
      </c>
      <c r="O111" s="19" t="inlineStr">
        <is>
          <t>NEW</t>
        </is>
      </c>
      <c r="P111" s="13" t="inlineStr">
        <is>
          <t>Printed pulley for the 6 mm belt.</t>
        </is>
      </c>
    </row>
    <row r="112">
      <c r="A112" s="12" t="inlineStr">
        <is>
          <t>10.38</t>
        </is>
      </c>
      <c r="B112" s="13" t="inlineStr">
        <is>
          <t>NEMA 14 mount to carriage</t>
        </is>
      </c>
      <c r="C112" s="13" t="inlineStr">
        <is>
          <t>Nema14mount2carriage.stl</t>
        </is>
      </c>
      <c r="D112" s="17" t="n">
        <v>1</v>
      </c>
      <c r="E112" s="12" t="n"/>
      <c r="F112" s="13" t="inlineStr">
        <is>
          <t>Tool head (stepper)</t>
        </is>
      </c>
      <c r="G112" s="13" t="inlineStr">
        <is>
          <t>Print in-house</t>
        </is>
      </c>
      <c r="H112" s="14" t="inlineStr">
        <is>
          <t>Link</t>
        </is>
      </c>
      <c r="I112" s="12" t="inlineStr">
        <is>
          <t>Repo path (not opened)</t>
        </is>
      </c>
      <c r="J112" s="12" t="inlineStr">
        <is>
          <t>–</t>
        </is>
      </c>
      <c r="K112" s="12" t="inlineStr">
        <is>
          <t>–</t>
        </is>
      </c>
      <c r="L112" s="12" t="inlineStr">
        <is>
          <t>–</t>
        </is>
      </c>
      <c r="M112" s="15" t="n"/>
      <c r="N112" s="15">
        <f>IF(OR(D112="",M112=""),"",D112*M112)</f>
        <v/>
      </c>
      <c r="O112" s="19" t="inlineStr">
        <is>
          <t>NEW</t>
        </is>
      </c>
      <c r="P112" s="13" t="inlineStr">
        <is>
          <t>Print in ABS.</t>
        </is>
      </c>
    </row>
    <row r="113">
      <c r="A113" s="12" t="inlineStr">
        <is>
          <t>10.39</t>
        </is>
      </c>
      <c r="B113" s="13" t="inlineStr">
        <is>
          <t>TPU pen bung – 10mm Tapered</t>
        </is>
      </c>
      <c r="C113" s="13" t="inlineStr">
        <is>
          <t>TPU Bungs/10mm Tapered Bung.stl</t>
        </is>
      </c>
      <c r="D113" s="17" t="n">
        <v>1</v>
      </c>
      <c r="E113" s="12" t="n"/>
      <c r="F113" s="13" t="inlineStr">
        <is>
          <t>Pen holder insert</t>
        </is>
      </c>
      <c r="G113" s="13" t="inlineStr">
        <is>
          <t>Print in-house</t>
        </is>
      </c>
      <c r="H113" s="14" t="inlineStr">
        <is>
          <t>Link</t>
        </is>
      </c>
      <c r="I113" s="12" t="inlineStr">
        <is>
          <t>Repo path (not opened)</t>
        </is>
      </c>
      <c r="J113" s="12" t="inlineStr">
        <is>
          <t>–</t>
        </is>
      </c>
      <c r="K113" s="12" t="inlineStr">
        <is>
          <t>–</t>
        </is>
      </c>
      <c r="L113" s="12" t="inlineStr">
        <is>
          <t>–</t>
        </is>
      </c>
      <c r="M113" s="15" t="n"/>
      <c r="N113" s="15">
        <f>IF(OR(D113="",M113=""),"",D113*M113)</f>
        <v/>
      </c>
      <c r="O113" s="19" t="inlineStr">
        <is>
          <t>NEW</t>
        </is>
      </c>
      <c r="P113" s="13" t="inlineStr">
        <is>
          <t>TPU 95A, 0.6 mm nozzle (per README). Set qty to the pen sizes you actually use; 1 is a placeholder.</t>
        </is>
      </c>
    </row>
    <row r="114">
      <c r="A114" s="12" t="inlineStr">
        <is>
          <t>10.40</t>
        </is>
      </c>
      <c r="B114" s="13" t="inlineStr">
        <is>
          <t>TPU pen bung – 11mm Tapered</t>
        </is>
      </c>
      <c r="C114" s="13" t="inlineStr">
        <is>
          <t>TPU Bungs/11mm Tapered Bung.stl</t>
        </is>
      </c>
      <c r="D114" s="17" t="n">
        <v>1</v>
      </c>
      <c r="E114" s="12" t="n"/>
      <c r="F114" s="13" t="inlineStr">
        <is>
          <t>Pen holder insert</t>
        </is>
      </c>
      <c r="G114" s="13" t="inlineStr">
        <is>
          <t>Print in-house</t>
        </is>
      </c>
      <c r="H114" s="14" t="inlineStr">
        <is>
          <t>Link</t>
        </is>
      </c>
      <c r="I114" s="12" t="inlineStr">
        <is>
          <t>Repo path (not opened)</t>
        </is>
      </c>
      <c r="J114" s="12" t="inlineStr">
        <is>
          <t>–</t>
        </is>
      </c>
      <c r="K114" s="12" t="inlineStr">
        <is>
          <t>–</t>
        </is>
      </c>
      <c r="L114" s="12" t="inlineStr">
        <is>
          <t>–</t>
        </is>
      </c>
      <c r="M114" s="15" t="n"/>
      <c r="N114" s="15">
        <f>IF(OR(D114="",M114=""),"",D114*M114)</f>
        <v/>
      </c>
      <c r="O114" s="19" t="inlineStr">
        <is>
          <t>NEW</t>
        </is>
      </c>
      <c r="P114" s="13" t="inlineStr">
        <is>
          <t>TPU 95A, 0.6 mm nozzle (per README). Set qty to the pen sizes you actually use; 1 is a placeholder.</t>
        </is>
      </c>
    </row>
    <row r="115">
      <c r="A115" s="12" t="inlineStr">
        <is>
          <t>10.41</t>
        </is>
      </c>
      <c r="B115" s="13" t="inlineStr">
        <is>
          <t>TPU pen bung – 12mm Aperture</t>
        </is>
      </c>
      <c r="C115" s="13" t="inlineStr">
        <is>
          <t>TPU Bungs/12mm Aperture Bung.stl</t>
        </is>
      </c>
      <c r="D115" s="17" t="n">
        <v>1</v>
      </c>
      <c r="E115" s="12" t="n"/>
      <c r="F115" s="13" t="inlineStr">
        <is>
          <t>Pen holder insert</t>
        </is>
      </c>
      <c r="G115" s="13" t="inlineStr">
        <is>
          <t>Print in-house</t>
        </is>
      </c>
      <c r="H115" s="14" t="inlineStr">
        <is>
          <t>Link</t>
        </is>
      </c>
      <c r="I115" s="12" t="inlineStr">
        <is>
          <t>Repo path (not opened)</t>
        </is>
      </c>
      <c r="J115" s="12" t="inlineStr">
        <is>
          <t>–</t>
        </is>
      </c>
      <c r="K115" s="12" t="inlineStr">
        <is>
          <t>–</t>
        </is>
      </c>
      <c r="L115" s="12" t="inlineStr">
        <is>
          <t>–</t>
        </is>
      </c>
      <c r="M115" s="15" t="n"/>
      <c r="N115" s="15">
        <f>IF(OR(D115="",M115=""),"",D115*M115)</f>
        <v/>
      </c>
      <c r="O115" s="19" t="inlineStr">
        <is>
          <t>NEW</t>
        </is>
      </c>
      <c r="P115" s="13" t="inlineStr">
        <is>
          <t>TPU 95A, 0.6 mm nozzle (per README). Set qty to the pen sizes you actually use; 1 is a placeholder.</t>
        </is>
      </c>
    </row>
    <row r="116">
      <c r="A116" s="12" t="inlineStr">
        <is>
          <t>10.42</t>
        </is>
      </c>
      <c r="B116" s="13" t="inlineStr">
        <is>
          <t>TPU pen bung – 15mm Aperture</t>
        </is>
      </c>
      <c r="C116" s="13" t="inlineStr">
        <is>
          <t>TPU Bungs/15mm Aperture Bung.stl</t>
        </is>
      </c>
      <c r="D116" s="17" t="n">
        <v>1</v>
      </c>
      <c r="E116" s="12" t="n"/>
      <c r="F116" s="13" t="inlineStr">
        <is>
          <t>Pen holder insert</t>
        </is>
      </c>
      <c r="G116" s="13" t="inlineStr">
        <is>
          <t>Print in-house</t>
        </is>
      </c>
      <c r="H116" s="14" t="inlineStr">
        <is>
          <t>Link</t>
        </is>
      </c>
      <c r="I116" s="12" t="inlineStr">
        <is>
          <t>Repo path (not opened)</t>
        </is>
      </c>
      <c r="J116" s="12" t="inlineStr">
        <is>
          <t>–</t>
        </is>
      </c>
      <c r="K116" s="12" t="inlineStr">
        <is>
          <t>–</t>
        </is>
      </c>
      <c r="L116" s="12" t="inlineStr">
        <is>
          <t>–</t>
        </is>
      </c>
      <c r="M116" s="15" t="n"/>
      <c r="N116" s="15">
        <f>IF(OR(D116="",M116=""),"",D116*M116)</f>
        <v/>
      </c>
      <c r="O116" s="19" t="inlineStr">
        <is>
          <t>NEW</t>
        </is>
      </c>
      <c r="P116" s="13" t="inlineStr">
        <is>
          <t>TPU 95A, 0.6 mm nozzle (per README). Set qty to the pen sizes you actually use; 1 is a placeholder.</t>
        </is>
      </c>
    </row>
    <row r="117">
      <c r="A117" s="12" t="inlineStr">
        <is>
          <t>10.43</t>
        </is>
      </c>
      <c r="B117" s="13" t="inlineStr">
        <is>
          <t>TPU pen bung – 16_3mm Tapered</t>
        </is>
      </c>
      <c r="C117" s="13" t="inlineStr">
        <is>
          <t>TPU Bungs/16_3mm Tapered Bung.stl</t>
        </is>
      </c>
      <c r="D117" s="17" t="n">
        <v>1</v>
      </c>
      <c r="E117" s="12" t="n"/>
      <c r="F117" s="13" t="inlineStr">
        <is>
          <t>Pen holder insert</t>
        </is>
      </c>
      <c r="G117" s="13" t="inlineStr">
        <is>
          <t>Print in-house</t>
        </is>
      </c>
      <c r="H117" s="14" t="inlineStr">
        <is>
          <t>Link</t>
        </is>
      </c>
      <c r="I117" s="12" t="inlineStr">
        <is>
          <t>Repo path (not opened)</t>
        </is>
      </c>
      <c r="J117" s="12" t="inlineStr">
        <is>
          <t>–</t>
        </is>
      </c>
      <c r="K117" s="12" t="inlineStr">
        <is>
          <t>–</t>
        </is>
      </c>
      <c r="L117" s="12" t="inlineStr">
        <is>
          <t>–</t>
        </is>
      </c>
      <c r="M117" s="15" t="n"/>
      <c r="N117" s="15">
        <f>IF(OR(D117="",M117=""),"",D117*M117)</f>
        <v/>
      </c>
      <c r="O117" s="19" t="inlineStr">
        <is>
          <t>NEW</t>
        </is>
      </c>
      <c r="P117" s="13" t="inlineStr">
        <is>
          <t>TPU 95A, 0.6 mm nozzle (per README). Set qty to the pen sizes you actually use; 1 is a placeholder.</t>
        </is>
      </c>
    </row>
    <row r="118">
      <c r="A118" s="12" t="inlineStr">
        <is>
          <t>10.44</t>
        </is>
      </c>
      <c r="B118" s="13" t="inlineStr">
        <is>
          <t>TPU pen bung – 4mm Aperture</t>
        </is>
      </c>
      <c r="C118" s="13" t="inlineStr">
        <is>
          <t>TPU Bungs/4mm Aperture Bung.stl</t>
        </is>
      </c>
      <c r="D118" s="17" t="n">
        <v>1</v>
      </c>
      <c r="E118" s="12" t="n"/>
      <c r="F118" s="13" t="inlineStr">
        <is>
          <t>Pen holder insert</t>
        </is>
      </c>
      <c r="G118" s="13" t="inlineStr">
        <is>
          <t>Print in-house</t>
        </is>
      </c>
      <c r="H118" s="14" t="inlineStr">
        <is>
          <t>Link</t>
        </is>
      </c>
      <c r="I118" s="12" t="inlineStr">
        <is>
          <t>Repo path (not opened)</t>
        </is>
      </c>
      <c r="J118" s="12" t="inlineStr">
        <is>
          <t>–</t>
        </is>
      </c>
      <c r="K118" s="12" t="inlineStr">
        <is>
          <t>–</t>
        </is>
      </c>
      <c r="L118" s="12" t="inlineStr">
        <is>
          <t>–</t>
        </is>
      </c>
      <c r="M118" s="15" t="n"/>
      <c r="N118" s="15">
        <f>IF(OR(D118="",M118=""),"",D118*M118)</f>
        <v/>
      </c>
      <c r="O118" s="19" t="inlineStr">
        <is>
          <t>NEW</t>
        </is>
      </c>
      <c r="P118" s="13" t="inlineStr">
        <is>
          <t>TPU 95A, 0.6 mm nozzle (per README). Set qty to the pen sizes you actually use; 1 is a placeholder.</t>
        </is>
      </c>
    </row>
    <row r="119">
      <c r="A119" s="12" t="inlineStr">
        <is>
          <t>10.45</t>
        </is>
      </c>
      <c r="B119" s="13" t="inlineStr">
        <is>
          <t>TPU pen bung – 6mm Aperture</t>
        </is>
      </c>
      <c r="C119" s="13" t="inlineStr">
        <is>
          <t>TPU Bungs/6mm Aperture Bung.stl</t>
        </is>
      </c>
      <c r="D119" s="17" t="n">
        <v>1</v>
      </c>
      <c r="E119" s="12" t="n"/>
      <c r="F119" s="13" t="inlineStr">
        <is>
          <t>Pen holder insert</t>
        </is>
      </c>
      <c r="G119" s="13" t="inlineStr">
        <is>
          <t>Print in-house</t>
        </is>
      </c>
      <c r="H119" s="14" t="inlineStr">
        <is>
          <t>Link</t>
        </is>
      </c>
      <c r="I119" s="12" t="inlineStr">
        <is>
          <t>Repo path (not opened)</t>
        </is>
      </c>
      <c r="J119" s="12" t="inlineStr">
        <is>
          <t>–</t>
        </is>
      </c>
      <c r="K119" s="12" t="inlineStr">
        <is>
          <t>–</t>
        </is>
      </c>
      <c r="L119" s="12" t="inlineStr">
        <is>
          <t>–</t>
        </is>
      </c>
      <c r="M119" s="15" t="n"/>
      <c r="N119" s="15">
        <f>IF(OR(D119="",M119=""),"",D119*M119)</f>
        <v/>
      </c>
      <c r="O119" s="19" t="inlineStr">
        <is>
          <t>NEW</t>
        </is>
      </c>
      <c r="P119" s="13" t="inlineStr">
        <is>
          <t>TPU 95A, 0.6 mm nozzle (per README). Set qty to the pen sizes you actually use; 1 is a placeholder.</t>
        </is>
      </c>
    </row>
    <row r="120">
      <c r="A120" s="12" t="inlineStr">
        <is>
          <t>10.46</t>
        </is>
      </c>
      <c r="B120" s="13" t="inlineStr">
        <is>
          <t>TPU pen bung – 8mm Tapered</t>
        </is>
      </c>
      <c r="C120" s="13" t="inlineStr">
        <is>
          <t>TPU Bungs/8mm Tapered Bung.stl</t>
        </is>
      </c>
      <c r="D120" s="17" t="n">
        <v>1</v>
      </c>
      <c r="E120" s="12" t="n"/>
      <c r="F120" s="13" t="inlineStr">
        <is>
          <t>Pen holder insert</t>
        </is>
      </c>
      <c r="G120" s="13" t="inlineStr">
        <is>
          <t>Print in-house</t>
        </is>
      </c>
      <c r="H120" s="14" t="inlineStr">
        <is>
          <t>Link</t>
        </is>
      </c>
      <c r="I120" s="12" t="inlineStr">
        <is>
          <t>Repo path (not opened)</t>
        </is>
      </c>
      <c r="J120" s="12" t="inlineStr">
        <is>
          <t>–</t>
        </is>
      </c>
      <c r="K120" s="12" t="inlineStr">
        <is>
          <t>–</t>
        </is>
      </c>
      <c r="L120" s="12" t="inlineStr">
        <is>
          <t>–</t>
        </is>
      </c>
      <c r="M120" s="15" t="n"/>
      <c r="N120" s="15">
        <f>IF(OR(D120="",M120=""),"",D120*M120)</f>
        <v/>
      </c>
      <c r="O120" s="19" t="inlineStr">
        <is>
          <t>NEW</t>
        </is>
      </c>
      <c r="P120" s="13" t="inlineStr">
        <is>
          <t>TPU 95A, 0.6 mm nozzle (per README). Set qty to the pen sizes you actually use; 1 is a placeholder.</t>
        </is>
      </c>
    </row>
    <row r="121">
      <c r="A121" s="12" t="inlineStr">
        <is>
          <t>10.47</t>
        </is>
      </c>
      <c r="B121" s="13" t="inlineStr">
        <is>
          <t>TPU pen bung – 9mm Aperture</t>
        </is>
      </c>
      <c r="C121" s="13" t="inlineStr">
        <is>
          <t>TPU Bungs/9mm Aperture Bung.stl</t>
        </is>
      </c>
      <c r="D121" s="17" t="n">
        <v>1</v>
      </c>
      <c r="E121" s="12" t="n"/>
      <c r="F121" s="13" t="inlineStr">
        <is>
          <t>Pen holder insert</t>
        </is>
      </c>
      <c r="G121" s="13" t="inlineStr">
        <is>
          <t>Print in-house</t>
        </is>
      </c>
      <c r="H121" s="14" t="inlineStr">
        <is>
          <t>Link</t>
        </is>
      </c>
      <c r="I121" s="12" t="inlineStr">
        <is>
          <t>Repo path (not opened)</t>
        </is>
      </c>
      <c r="J121" s="12" t="inlineStr">
        <is>
          <t>–</t>
        </is>
      </c>
      <c r="K121" s="12" t="inlineStr">
        <is>
          <t>–</t>
        </is>
      </c>
      <c r="L121" s="12" t="inlineStr">
        <is>
          <t>–</t>
        </is>
      </c>
      <c r="M121" s="15" t="n"/>
      <c r="N121" s="15">
        <f>IF(OR(D121="",M121=""),"",D121*M121)</f>
        <v/>
      </c>
      <c r="O121" s="19" t="inlineStr">
        <is>
          <t>NEW</t>
        </is>
      </c>
      <c r="P121" s="13" t="inlineStr">
        <is>
          <t>TPU 95A, 0.6 mm nozzle (per README). Set qty to the pen sizes you actually use; 1 is a placeholder.</t>
        </is>
      </c>
    </row>
    <row r="122">
      <c r="A122" s="12" t="inlineStr">
        <is>
          <t>10.48</t>
        </is>
      </c>
      <c r="B122" s="13" t="inlineStr">
        <is>
          <t>TPU pen bung – 9mm Tapered</t>
        </is>
      </c>
      <c r="C122" s="13" t="inlineStr">
        <is>
          <t>TPU Bungs/9mm Tapered Bung.stl</t>
        </is>
      </c>
      <c r="D122" s="17" t="n">
        <v>1</v>
      </c>
      <c r="E122" s="12" t="n"/>
      <c r="F122" s="13" t="inlineStr">
        <is>
          <t>Pen holder insert</t>
        </is>
      </c>
      <c r="G122" s="13" t="inlineStr">
        <is>
          <t>Print in-house</t>
        </is>
      </c>
      <c r="H122" s="14" t="inlineStr">
        <is>
          <t>Link</t>
        </is>
      </c>
      <c r="I122" s="12" t="inlineStr">
        <is>
          <t>Repo path (not opened)</t>
        </is>
      </c>
      <c r="J122" s="12" t="inlineStr">
        <is>
          <t>–</t>
        </is>
      </c>
      <c r="K122" s="12" t="inlineStr">
        <is>
          <t>–</t>
        </is>
      </c>
      <c r="L122" s="12" t="inlineStr">
        <is>
          <t>–</t>
        </is>
      </c>
      <c r="M122" s="15" t="n"/>
      <c r="N122" s="15">
        <f>IF(OR(D122="",M122=""),"",D122*M122)</f>
        <v/>
      </c>
      <c r="O122" s="19" t="inlineStr">
        <is>
          <t>NEW</t>
        </is>
      </c>
      <c r="P122" s="13" t="inlineStr">
        <is>
          <t>TPU 95A, 0.6 mm nozzle (per README). Set qty to the pen sizes you actually use; 1 is a placeholder.</t>
        </is>
      </c>
    </row>
    <row r="123">
      <c r="A123" s="12" t="inlineStr">
        <is>
          <t>10.49</t>
        </is>
      </c>
      <c r="B123" s="13" t="inlineStr">
        <is>
          <t>TPU pen holder insert (parametric)</t>
        </is>
      </c>
      <c r="C123" s="13" t="inlineStr">
        <is>
          <t>Stepper_Z_Axis_Experimental/Pen Holder Insert.FCStd</t>
        </is>
      </c>
      <c r="D123" s="17" t="n">
        <v>1</v>
      </c>
      <c r="E123" s="12" t="n"/>
      <c r="F123" s="13" t="inlineStr">
        <is>
          <t>Pen holder insert</t>
        </is>
      </c>
      <c r="G123" s="13" t="inlineStr">
        <is>
          <t>Print in-house</t>
        </is>
      </c>
      <c r="H123" s="14" t="inlineStr">
        <is>
          <t>Link</t>
        </is>
      </c>
      <c r="I123" s="12" t="inlineStr">
        <is>
          <t>Repo path (not opened)</t>
        </is>
      </c>
      <c r="J123" s="12" t="inlineStr">
        <is>
          <t>–</t>
        </is>
      </c>
      <c r="K123" s="12" t="inlineStr">
        <is>
          <t>–</t>
        </is>
      </c>
      <c r="L123" s="12" t="inlineStr">
        <is>
          <t>–</t>
        </is>
      </c>
      <c r="M123" s="15" t="n"/>
      <c r="N123" s="15">
        <f>IF(OR(D123="",M123=""),"",D123*M123)</f>
        <v/>
      </c>
      <c r="O123" s="18" t="inlineStr">
        <is>
          <t>CHECK</t>
        </is>
      </c>
      <c r="P123" s="13" t="inlineStr">
        <is>
          <t>Parametric FreeCAD file: set top/bottom diameters to a custom pen, then export and print in TPU. Use this for pens the bungs don't cover.</t>
        </is>
      </c>
    </row>
    <row r="124"/>
    <row r="125">
      <c r="K125" s="61" t="inlineStr">
        <is>
          <t>Priced so far</t>
        </is>
      </c>
      <c r="N125" s="23">
        <f>SUM(N7:N123)</f>
        <v/>
      </c>
    </row>
    <row r="126">
      <c r="M126" s="40" t="inlineStr">
        <is>
          <t>Only priced items are filled in. Heat-set inserts are one pack; the £100 metal bed is your sign-shop cost and replaces the plywood base if you migrate. Add the rest as you order.</t>
        </is>
      </c>
    </row>
  </sheetData>
  <mergeCells count="3">
    <mergeCell ref="K125:M125"/>
    <mergeCell ref="M126:P126"/>
    <mergeCell ref="A2:P2"/>
  </mergeCells>
  <hyperlinks>
    <hyperlink xmlns:r="http://schemas.openxmlformats.org/officeDocument/2006/relationships" ref="H7" r:id="rId1"/>
    <hyperlink xmlns:r="http://schemas.openxmlformats.org/officeDocument/2006/relationships" ref="J7" r:id="rId2"/>
    <hyperlink xmlns:r="http://schemas.openxmlformats.org/officeDocument/2006/relationships" ref="K7" r:id="rId3"/>
    <hyperlink xmlns:r="http://schemas.openxmlformats.org/officeDocument/2006/relationships" ref="L7" r:id="rId4"/>
    <hyperlink xmlns:r="http://schemas.openxmlformats.org/officeDocument/2006/relationships" ref="H8" r:id="rId5"/>
    <hyperlink xmlns:r="http://schemas.openxmlformats.org/officeDocument/2006/relationships" ref="J8" r:id="rId6"/>
    <hyperlink xmlns:r="http://schemas.openxmlformats.org/officeDocument/2006/relationships" ref="K8" r:id="rId7"/>
    <hyperlink xmlns:r="http://schemas.openxmlformats.org/officeDocument/2006/relationships" ref="L8" r:id="rId8"/>
    <hyperlink xmlns:r="http://schemas.openxmlformats.org/officeDocument/2006/relationships" ref="H9" r:id="rId9"/>
    <hyperlink xmlns:r="http://schemas.openxmlformats.org/officeDocument/2006/relationships" ref="J9" r:id="rId10"/>
    <hyperlink xmlns:r="http://schemas.openxmlformats.org/officeDocument/2006/relationships" ref="K9" r:id="rId11"/>
    <hyperlink xmlns:r="http://schemas.openxmlformats.org/officeDocument/2006/relationships" ref="L9" r:id="rId12"/>
    <hyperlink xmlns:r="http://schemas.openxmlformats.org/officeDocument/2006/relationships" ref="H10" r:id="rId13"/>
    <hyperlink xmlns:r="http://schemas.openxmlformats.org/officeDocument/2006/relationships" ref="J10" r:id="rId14"/>
    <hyperlink xmlns:r="http://schemas.openxmlformats.org/officeDocument/2006/relationships" ref="K10" r:id="rId15"/>
    <hyperlink xmlns:r="http://schemas.openxmlformats.org/officeDocument/2006/relationships" ref="L10" r:id="rId16"/>
    <hyperlink xmlns:r="http://schemas.openxmlformats.org/officeDocument/2006/relationships" ref="H11" r:id="rId17"/>
    <hyperlink xmlns:r="http://schemas.openxmlformats.org/officeDocument/2006/relationships" ref="J11" r:id="rId18"/>
    <hyperlink xmlns:r="http://schemas.openxmlformats.org/officeDocument/2006/relationships" ref="K11" r:id="rId19"/>
    <hyperlink xmlns:r="http://schemas.openxmlformats.org/officeDocument/2006/relationships" ref="L11" r:id="rId20"/>
    <hyperlink xmlns:r="http://schemas.openxmlformats.org/officeDocument/2006/relationships" ref="J12" r:id="rId21"/>
    <hyperlink xmlns:r="http://schemas.openxmlformats.org/officeDocument/2006/relationships" ref="K12" r:id="rId22"/>
    <hyperlink xmlns:r="http://schemas.openxmlformats.org/officeDocument/2006/relationships" ref="L12" r:id="rId23"/>
    <hyperlink xmlns:r="http://schemas.openxmlformats.org/officeDocument/2006/relationships" ref="J13" r:id="rId24"/>
    <hyperlink xmlns:r="http://schemas.openxmlformats.org/officeDocument/2006/relationships" ref="K13" r:id="rId25"/>
    <hyperlink xmlns:r="http://schemas.openxmlformats.org/officeDocument/2006/relationships" ref="L13" r:id="rId26"/>
    <hyperlink xmlns:r="http://schemas.openxmlformats.org/officeDocument/2006/relationships" ref="H14" r:id="rId27"/>
    <hyperlink xmlns:r="http://schemas.openxmlformats.org/officeDocument/2006/relationships" ref="J14" r:id="rId28"/>
    <hyperlink xmlns:r="http://schemas.openxmlformats.org/officeDocument/2006/relationships" ref="K14" r:id="rId29"/>
    <hyperlink xmlns:r="http://schemas.openxmlformats.org/officeDocument/2006/relationships" ref="L14" r:id="rId30"/>
    <hyperlink xmlns:r="http://schemas.openxmlformats.org/officeDocument/2006/relationships" ref="H15" r:id="rId31"/>
    <hyperlink xmlns:r="http://schemas.openxmlformats.org/officeDocument/2006/relationships" ref="J17" r:id="rId32"/>
    <hyperlink xmlns:r="http://schemas.openxmlformats.org/officeDocument/2006/relationships" ref="K17" r:id="rId33"/>
    <hyperlink xmlns:r="http://schemas.openxmlformats.org/officeDocument/2006/relationships" ref="L17" r:id="rId34"/>
    <hyperlink xmlns:r="http://schemas.openxmlformats.org/officeDocument/2006/relationships" ref="J18" r:id="rId35"/>
    <hyperlink xmlns:r="http://schemas.openxmlformats.org/officeDocument/2006/relationships" ref="K18" r:id="rId36"/>
    <hyperlink xmlns:r="http://schemas.openxmlformats.org/officeDocument/2006/relationships" ref="L18" r:id="rId37"/>
    <hyperlink xmlns:r="http://schemas.openxmlformats.org/officeDocument/2006/relationships" ref="J19" r:id="rId38"/>
    <hyperlink xmlns:r="http://schemas.openxmlformats.org/officeDocument/2006/relationships" ref="K19" r:id="rId39"/>
    <hyperlink xmlns:r="http://schemas.openxmlformats.org/officeDocument/2006/relationships" ref="L19" r:id="rId40"/>
    <hyperlink xmlns:r="http://schemas.openxmlformats.org/officeDocument/2006/relationships" ref="J21" r:id="rId41"/>
    <hyperlink xmlns:r="http://schemas.openxmlformats.org/officeDocument/2006/relationships" ref="K21" r:id="rId42"/>
    <hyperlink xmlns:r="http://schemas.openxmlformats.org/officeDocument/2006/relationships" ref="L21" r:id="rId43"/>
    <hyperlink xmlns:r="http://schemas.openxmlformats.org/officeDocument/2006/relationships" ref="J22" r:id="rId44"/>
    <hyperlink xmlns:r="http://schemas.openxmlformats.org/officeDocument/2006/relationships" ref="K22" r:id="rId45"/>
    <hyperlink xmlns:r="http://schemas.openxmlformats.org/officeDocument/2006/relationships" ref="L22" r:id="rId46"/>
    <hyperlink xmlns:r="http://schemas.openxmlformats.org/officeDocument/2006/relationships" ref="J23" r:id="rId47"/>
    <hyperlink xmlns:r="http://schemas.openxmlformats.org/officeDocument/2006/relationships" ref="K23" r:id="rId48"/>
    <hyperlink xmlns:r="http://schemas.openxmlformats.org/officeDocument/2006/relationships" ref="L23" r:id="rId49"/>
    <hyperlink xmlns:r="http://schemas.openxmlformats.org/officeDocument/2006/relationships" ref="J24" r:id="rId50"/>
    <hyperlink xmlns:r="http://schemas.openxmlformats.org/officeDocument/2006/relationships" ref="K24" r:id="rId51"/>
    <hyperlink xmlns:r="http://schemas.openxmlformats.org/officeDocument/2006/relationships" ref="L24" r:id="rId52"/>
    <hyperlink xmlns:r="http://schemas.openxmlformats.org/officeDocument/2006/relationships" ref="H25" r:id="rId53"/>
    <hyperlink xmlns:r="http://schemas.openxmlformats.org/officeDocument/2006/relationships" ref="J25" r:id="rId54"/>
    <hyperlink xmlns:r="http://schemas.openxmlformats.org/officeDocument/2006/relationships" ref="K25" r:id="rId55"/>
    <hyperlink xmlns:r="http://schemas.openxmlformats.org/officeDocument/2006/relationships" ref="L25" r:id="rId56"/>
    <hyperlink xmlns:r="http://schemas.openxmlformats.org/officeDocument/2006/relationships" ref="H27" r:id="rId57"/>
    <hyperlink xmlns:r="http://schemas.openxmlformats.org/officeDocument/2006/relationships" ref="H28" r:id="rId58"/>
    <hyperlink xmlns:r="http://schemas.openxmlformats.org/officeDocument/2006/relationships" ref="J29" r:id="rId59"/>
    <hyperlink xmlns:r="http://schemas.openxmlformats.org/officeDocument/2006/relationships" ref="K29" r:id="rId60"/>
    <hyperlink xmlns:r="http://schemas.openxmlformats.org/officeDocument/2006/relationships" ref="L29" r:id="rId61"/>
    <hyperlink xmlns:r="http://schemas.openxmlformats.org/officeDocument/2006/relationships" ref="J30" r:id="rId62"/>
    <hyperlink xmlns:r="http://schemas.openxmlformats.org/officeDocument/2006/relationships" ref="K30" r:id="rId63"/>
    <hyperlink xmlns:r="http://schemas.openxmlformats.org/officeDocument/2006/relationships" ref="L30" r:id="rId64"/>
    <hyperlink xmlns:r="http://schemas.openxmlformats.org/officeDocument/2006/relationships" ref="J31" r:id="rId65"/>
    <hyperlink xmlns:r="http://schemas.openxmlformats.org/officeDocument/2006/relationships" ref="K31" r:id="rId66"/>
    <hyperlink xmlns:r="http://schemas.openxmlformats.org/officeDocument/2006/relationships" ref="L31" r:id="rId67"/>
    <hyperlink xmlns:r="http://schemas.openxmlformats.org/officeDocument/2006/relationships" ref="J32" r:id="rId68"/>
    <hyperlink xmlns:r="http://schemas.openxmlformats.org/officeDocument/2006/relationships" ref="K32" r:id="rId69"/>
    <hyperlink xmlns:r="http://schemas.openxmlformats.org/officeDocument/2006/relationships" ref="L32" r:id="rId70"/>
    <hyperlink xmlns:r="http://schemas.openxmlformats.org/officeDocument/2006/relationships" ref="H33" r:id="rId71"/>
    <hyperlink xmlns:r="http://schemas.openxmlformats.org/officeDocument/2006/relationships" ref="J34" r:id="rId72"/>
    <hyperlink xmlns:r="http://schemas.openxmlformats.org/officeDocument/2006/relationships" ref="K34" r:id="rId73"/>
    <hyperlink xmlns:r="http://schemas.openxmlformats.org/officeDocument/2006/relationships" ref="L34" r:id="rId74"/>
    <hyperlink xmlns:r="http://schemas.openxmlformats.org/officeDocument/2006/relationships" ref="J35" r:id="rId75"/>
    <hyperlink xmlns:r="http://schemas.openxmlformats.org/officeDocument/2006/relationships" ref="K35" r:id="rId76"/>
    <hyperlink xmlns:r="http://schemas.openxmlformats.org/officeDocument/2006/relationships" ref="L35" r:id="rId77"/>
    <hyperlink xmlns:r="http://schemas.openxmlformats.org/officeDocument/2006/relationships" ref="J36" r:id="rId78"/>
    <hyperlink xmlns:r="http://schemas.openxmlformats.org/officeDocument/2006/relationships" ref="K36" r:id="rId79"/>
    <hyperlink xmlns:r="http://schemas.openxmlformats.org/officeDocument/2006/relationships" ref="L36" r:id="rId80"/>
    <hyperlink xmlns:r="http://schemas.openxmlformats.org/officeDocument/2006/relationships" ref="H37" r:id="rId81"/>
    <hyperlink xmlns:r="http://schemas.openxmlformats.org/officeDocument/2006/relationships" ref="J37" r:id="rId82"/>
    <hyperlink xmlns:r="http://schemas.openxmlformats.org/officeDocument/2006/relationships" ref="K37" r:id="rId83"/>
    <hyperlink xmlns:r="http://schemas.openxmlformats.org/officeDocument/2006/relationships" ref="L37" r:id="rId84"/>
    <hyperlink xmlns:r="http://schemas.openxmlformats.org/officeDocument/2006/relationships" ref="J38" r:id="rId85"/>
    <hyperlink xmlns:r="http://schemas.openxmlformats.org/officeDocument/2006/relationships" ref="K38" r:id="rId86"/>
    <hyperlink xmlns:r="http://schemas.openxmlformats.org/officeDocument/2006/relationships" ref="L38" r:id="rId87"/>
    <hyperlink xmlns:r="http://schemas.openxmlformats.org/officeDocument/2006/relationships" ref="H40" r:id="rId88"/>
    <hyperlink xmlns:r="http://schemas.openxmlformats.org/officeDocument/2006/relationships" ref="J40" r:id="rId89"/>
    <hyperlink xmlns:r="http://schemas.openxmlformats.org/officeDocument/2006/relationships" ref="K40" r:id="rId90"/>
    <hyperlink xmlns:r="http://schemas.openxmlformats.org/officeDocument/2006/relationships" ref="L40" r:id="rId91"/>
    <hyperlink xmlns:r="http://schemas.openxmlformats.org/officeDocument/2006/relationships" ref="J41" r:id="rId92"/>
    <hyperlink xmlns:r="http://schemas.openxmlformats.org/officeDocument/2006/relationships" ref="K41" r:id="rId93"/>
    <hyperlink xmlns:r="http://schemas.openxmlformats.org/officeDocument/2006/relationships" ref="L41" r:id="rId94"/>
    <hyperlink xmlns:r="http://schemas.openxmlformats.org/officeDocument/2006/relationships" ref="J42" r:id="rId95"/>
    <hyperlink xmlns:r="http://schemas.openxmlformats.org/officeDocument/2006/relationships" ref="K42" r:id="rId96"/>
    <hyperlink xmlns:r="http://schemas.openxmlformats.org/officeDocument/2006/relationships" ref="L42" r:id="rId97"/>
    <hyperlink xmlns:r="http://schemas.openxmlformats.org/officeDocument/2006/relationships" ref="H44" r:id="rId98"/>
    <hyperlink xmlns:r="http://schemas.openxmlformats.org/officeDocument/2006/relationships" ref="H45" r:id="rId99"/>
    <hyperlink xmlns:r="http://schemas.openxmlformats.org/officeDocument/2006/relationships" ref="J46" r:id="rId100"/>
    <hyperlink xmlns:r="http://schemas.openxmlformats.org/officeDocument/2006/relationships" ref="K46" r:id="rId101"/>
    <hyperlink xmlns:r="http://schemas.openxmlformats.org/officeDocument/2006/relationships" ref="L46" r:id="rId102"/>
    <hyperlink xmlns:r="http://schemas.openxmlformats.org/officeDocument/2006/relationships" ref="H48" r:id="rId103"/>
    <hyperlink xmlns:r="http://schemas.openxmlformats.org/officeDocument/2006/relationships" ref="H49" r:id="rId104"/>
    <hyperlink xmlns:r="http://schemas.openxmlformats.org/officeDocument/2006/relationships" ref="H50" r:id="rId105"/>
    <hyperlink xmlns:r="http://schemas.openxmlformats.org/officeDocument/2006/relationships" ref="H51" r:id="rId106"/>
    <hyperlink xmlns:r="http://schemas.openxmlformats.org/officeDocument/2006/relationships" ref="H52" r:id="rId107"/>
    <hyperlink xmlns:r="http://schemas.openxmlformats.org/officeDocument/2006/relationships" ref="H53" r:id="rId108"/>
    <hyperlink xmlns:r="http://schemas.openxmlformats.org/officeDocument/2006/relationships" ref="H54" r:id="rId109"/>
    <hyperlink xmlns:r="http://schemas.openxmlformats.org/officeDocument/2006/relationships" ref="H55" r:id="rId110"/>
    <hyperlink xmlns:r="http://schemas.openxmlformats.org/officeDocument/2006/relationships" ref="H56" r:id="rId111"/>
    <hyperlink xmlns:r="http://schemas.openxmlformats.org/officeDocument/2006/relationships" ref="H57" r:id="rId112"/>
    <hyperlink xmlns:r="http://schemas.openxmlformats.org/officeDocument/2006/relationships" ref="J58" r:id="rId113"/>
    <hyperlink xmlns:r="http://schemas.openxmlformats.org/officeDocument/2006/relationships" ref="K58" r:id="rId114"/>
    <hyperlink xmlns:r="http://schemas.openxmlformats.org/officeDocument/2006/relationships" ref="L58" r:id="rId115"/>
    <hyperlink xmlns:r="http://schemas.openxmlformats.org/officeDocument/2006/relationships" ref="J59" r:id="rId116"/>
    <hyperlink xmlns:r="http://schemas.openxmlformats.org/officeDocument/2006/relationships" ref="K59" r:id="rId117"/>
    <hyperlink xmlns:r="http://schemas.openxmlformats.org/officeDocument/2006/relationships" ref="L59" r:id="rId118"/>
    <hyperlink xmlns:r="http://schemas.openxmlformats.org/officeDocument/2006/relationships" ref="H60" r:id="rId119"/>
    <hyperlink xmlns:r="http://schemas.openxmlformats.org/officeDocument/2006/relationships" ref="J60" r:id="rId120"/>
    <hyperlink xmlns:r="http://schemas.openxmlformats.org/officeDocument/2006/relationships" ref="K60" r:id="rId121"/>
    <hyperlink xmlns:r="http://schemas.openxmlformats.org/officeDocument/2006/relationships" ref="L60" r:id="rId122"/>
    <hyperlink xmlns:r="http://schemas.openxmlformats.org/officeDocument/2006/relationships" ref="H62" r:id="rId123"/>
    <hyperlink xmlns:r="http://schemas.openxmlformats.org/officeDocument/2006/relationships" ref="H63" r:id="rId124"/>
    <hyperlink xmlns:r="http://schemas.openxmlformats.org/officeDocument/2006/relationships" ref="H64" r:id="rId125"/>
    <hyperlink xmlns:r="http://schemas.openxmlformats.org/officeDocument/2006/relationships" ref="H65" r:id="rId126"/>
    <hyperlink xmlns:r="http://schemas.openxmlformats.org/officeDocument/2006/relationships" ref="H66" r:id="rId127"/>
    <hyperlink xmlns:r="http://schemas.openxmlformats.org/officeDocument/2006/relationships" ref="J67" r:id="rId128"/>
    <hyperlink xmlns:r="http://schemas.openxmlformats.org/officeDocument/2006/relationships" ref="K67" r:id="rId129"/>
    <hyperlink xmlns:r="http://schemas.openxmlformats.org/officeDocument/2006/relationships" ref="L67" r:id="rId130"/>
    <hyperlink xmlns:r="http://schemas.openxmlformats.org/officeDocument/2006/relationships" ref="J69" r:id="rId131"/>
    <hyperlink xmlns:r="http://schemas.openxmlformats.org/officeDocument/2006/relationships" ref="K69" r:id="rId132"/>
    <hyperlink xmlns:r="http://schemas.openxmlformats.org/officeDocument/2006/relationships" ref="L69" r:id="rId133"/>
    <hyperlink xmlns:r="http://schemas.openxmlformats.org/officeDocument/2006/relationships" ref="H70" r:id="rId134"/>
    <hyperlink xmlns:r="http://schemas.openxmlformats.org/officeDocument/2006/relationships" ref="J70" r:id="rId135"/>
    <hyperlink xmlns:r="http://schemas.openxmlformats.org/officeDocument/2006/relationships" ref="K70" r:id="rId136"/>
    <hyperlink xmlns:r="http://schemas.openxmlformats.org/officeDocument/2006/relationships" ref="L70" r:id="rId137"/>
    <hyperlink xmlns:r="http://schemas.openxmlformats.org/officeDocument/2006/relationships" ref="J71" r:id="rId138"/>
    <hyperlink xmlns:r="http://schemas.openxmlformats.org/officeDocument/2006/relationships" ref="K71" r:id="rId139"/>
    <hyperlink xmlns:r="http://schemas.openxmlformats.org/officeDocument/2006/relationships" ref="L71" r:id="rId140"/>
    <hyperlink xmlns:r="http://schemas.openxmlformats.org/officeDocument/2006/relationships" ref="J72" r:id="rId141"/>
    <hyperlink xmlns:r="http://schemas.openxmlformats.org/officeDocument/2006/relationships" ref="K72" r:id="rId142"/>
    <hyperlink xmlns:r="http://schemas.openxmlformats.org/officeDocument/2006/relationships" ref="L72" r:id="rId143"/>
    <hyperlink xmlns:r="http://schemas.openxmlformats.org/officeDocument/2006/relationships" ref="H75" r:id="rId144"/>
    <hyperlink xmlns:r="http://schemas.openxmlformats.org/officeDocument/2006/relationships" ref="H76" r:id="rId145"/>
    <hyperlink xmlns:r="http://schemas.openxmlformats.org/officeDocument/2006/relationships" ref="H77" r:id="rId146"/>
    <hyperlink xmlns:r="http://schemas.openxmlformats.org/officeDocument/2006/relationships" ref="H78" r:id="rId147"/>
    <hyperlink xmlns:r="http://schemas.openxmlformats.org/officeDocument/2006/relationships" ref="H79" r:id="rId148"/>
    <hyperlink xmlns:r="http://schemas.openxmlformats.org/officeDocument/2006/relationships" ref="H80" r:id="rId149"/>
    <hyperlink xmlns:r="http://schemas.openxmlformats.org/officeDocument/2006/relationships" ref="H81" r:id="rId150"/>
    <hyperlink xmlns:r="http://schemas.openxmlformats.org/officeDocument/2006/relationships" ref="H82" r:id="rId151"/>
    <hyperlink xmlns:r="http://schemas.openxmlformats.org/officeDocument/2006/relationships" ref="H83" r:id="rId152"/>
    <hyperlink xmlns:r="http://schemas.openxmlformats.org/officeDocument/2006/relationships" ref="H84" r:id="rId153"/>
    <hyperlink xmlns:r="http://schemas.openxmlformats.org/officeDocument/2006/relationships" ref="H85" r:id="rId154"/>
    <hyperlink xmlns:r="http://schemas.openxmlformats.org/officeDocument/2006/relationships" ref="H86" r:id="rId155"/>
    <hyperlink xmlns:r="http://schemas.openxmlformats.org/officeDocument/2006/relationships" ref="H88" r:id="rId156"/>
    <hyperlink xmlns:r="http://schemas.openxmlformats.org/officeDocument/2006/relationships" ref="H89" r:id="rId157"/>
    <hyperlink xmlns:r="http://schemas.openxmlformats.org/officeDocument/2006/relationships" ref="H90" r:id="rId158"/>
    <hyperlink xmlns:r="http://schemas.openxmlformats.org/officeDocument/2006/relationships" ref="H91" r:id="rId159"/>
    <hyperlink xmlns:r="http://schemas.openxmlformats.org/officeDocument/2006/relationships" ref="H92" r:id="rId160"/>
    <hyperlink xmlns:r="http://schemas.openxmlformats.org/officeDocument/2006/relationships" ref="H94" r:id="rId161"/>
    <hyperlink xmlns:r="http://schemas.openxmlformats.org/officeDocument/2006/relationships" ref="H95" r:id="rId162"/>
    <hyperlink xmlns:r="http://schemas.openxmlformats.org/officeDocument/2006/relationships" ref="H96" r:id="rId163"/>
    <hyperlink xmlns:r="http://schemas.openxmlformats.org/officeDocument/2006/relationships" ref="H97" r:id="rId164"/>
    <hyperlink xmlns:r="http://schemas.openxmlformats.org/officeDocument/2006/relationships" ref="H98" r:id="rId165"/>
    <hyperlink xmlns:r="http://schemas.openxmlformats.org/officeDocument/2006/relationships" ref="H100" r:id="rId166"/>
    <hyperlink xmlns:r="http://schemas.openxmlformats.org/officeDocument/2006/relationships" ref="H101" r:id="rId167"/>
    <hyperlink xmlns:r="http://schemas.openxmlformats.org/officeDocument/2006/relationships" ref="H102" r:id="rId168"/>
    <hyperlink xmlns:r="http://schemas.openxmlformats.org/officeDocument/2006/relationships" ref="H103" r:id="rId169"/>
    <hyperlink xmlns:r="http://schemas.openxmlformats.org/officeDocument/2006/relationships" ref="H104" r:id="rId170"/>
    <hyperlink xmlns:r="http://schemas.openxmlformats.org/officeDocument/2006/relationships" ref="H105" r:id="rId171"/>
    <hyperlink xmlns:r="http://schemas.openxmlformats.org/officeDocument/2006/relationships" ref="H106" r:id="rId172"/>
    <hyperlink xmlns:r="http://schemas.openxmlformats.org/officeDocument/2006/relationships" ref="H107" r:id="rId173"/>
    <hyperlink xmlns:r="http://schemas.openxmlformats.org/officeDocument/2006/relationships" ref="H108" r:id="rId174"/>
    <hyperlink xmlns:r="http://schemas.openxmlformats.org/officeDocument/2006/relationships" ref="H109" r:id="rId175"/>
    <hyperlink xmlns:r="http://schemas.openxmlformats.org/officeDocument/2006/relationships" ref="H110" r:id="rId176"/>
    <hyperlink xmlns:r="http://schemas.openxmlformats.org/officeDocument/2006/relationships" ref="H111" r:id="rId177"/>
    <hyperlink xmlns:r="http://schemas.openxmlformats.org/officeDocument/2006/relationships" ref="H112" r:id="rId178"/>
    <hyperlink xmlns:r="http://schemas.openxmlformats.org/officeDocument/2006/relationships" ref="H113" r:id="rId179"/>
    <hyperlink xmlns:r="http://schemas.openxmlformats.org/officeDocument/2006/relationships" ref="H114" r:id="rId180"/>
    <hyperlink xmlns:r="http://schemas.openxmlformats.org/officeDocument/2006/relationships" ref="H115" r:id="rId181"/>
    <hyperlink xmlns:r="http://schemas.openxmlformats.org/officeDocument/2006/relationships" ref="H116" r:id="rId182"/>
    <hyperlink xmlns:r="http://schemas.openxmlformats.org/officeDocument/2006/relationships" ref="H117" r:id="rId183"/>
    <hyperlink xmlns:r="http://schemas.openxmlformats.org/officeDocument/2006/relationships" ref="H118" r:id="rId184"/>
    <hyperlink xmlns:r="http://schemas.openxmlformats.org/officeDocument/2006/relationships" ref="H119" r:id="rId185"/>
    <hyperlink xmlns:r="http://schemas.openxmlformats.org/officeDocument/2006/relationships" ref="H120" r:id="rId186"/>
    <hyperlink xmlns:r="http://schemas.openxmlformats.org/officeDocument/2006/relationships" ref="H121" r:id="rId187"/>
    <hyperlink xmlns:r="http://schemas.openxmlformats.org/officeDocument/2006/relationships" ref="H122" r:id="rId188"/>
    <hyperlink xmlns:r="http://schemas.openxmlformats.org/officeDocument/2006/relationships" ref="H123" r:id="rId189"/>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37"/>
  <sheetViews>
    <sheetView showGridLines="0" workbookViewId="0">
      <pane ySplit="4" topLeftCell="A5" activePane="bottomLeft" state="frozen"/>
      <selection pane="bottomLeft" activeCell="A1" sqref="A1"/>
    </sheetView>
  </sheetViews>
  <sheetFormatPr baseColWidth="8" defaultRowHeight="15"/>
  <cols>
    <col width="5" customWidth="1" min="1" max="1"/>
    <col width="10" customWidth="1" min="2" max="2"/>
    <col width="26" customWidth="1" min="3" max="3"/>
    <col width="34" customWidth="1" min="4" max="4"/>
    <col width="44" customWidth="1" min="5" max="5"/>
    <col width="34" customWidth="1" min="6" max="6"/>
    <col width="50" customWidth="1" min="7" max="7"/>
  </cols>
  <sheetData>
    <row r="1">
      <c r="A1" s="1" t="inlineStr">
        <is>
          <t>What was wrong with the old BOM</t>
        </is>
      </c>
    </row>
    <row r="2">
      <c r="A2" s="24" t="inlineStr">
        <is>
          <t>Old master = the left-hand list (columns A-D). Sub-assemblies = the per-section blocks to its right. Numbers below come from adding the sub-assembly blocks up.</t>
        </is>
      </c>
    </row>
    <row r="4">
      <c r="A4" s="25" t="inlineStr">
        <is>
          <t>#</t>
        </is>
      </c>
      <c r="B4" s="25" t="inlineStr">
        <is>
          <t>Priority</t>
        </is>
      </c>
      <c r="C4" s="25" t="inlineStr">
        <is>
          <t>Item</t>
        </is>
      </c>
      <c r="D4" s="25" t="inlineStr">
        <is>
          <t>Old master says</t>
        </is>
      </c>
      <c r="E4" s="25" t="inlineStr">
        <is>
          <t>Sub-assemblies / CAD say</t>
        </is>
      </c>
      <c r="F4" s="25" t="inlineStr">
        <is>
          <t>What v2 does</t>
        </is>
      </c>
      <c r="G4" s="25" t="inlineStr">
        <is>
          <t>Your decision?</t>
        </is>
      </c>
    </row>
    <row r="5">
      <c r="A5" s="26" t="n">
        <v>1</v>
      </c>
      <c r="B5" s="27" t="inlineStr">
        <is>
          <t>High</t>
        </is>
      </c>
      <c r="C5" s="26" t="inlineStr">
        <is>
          <t>M5 T-nuts</t>
        </is>
      </c>
      <c r="D5" s="26" t="inlineStr">
        <is>
          <t>22</t>
        </is>
      </c>
      <c r="E5" s="26" t="inlineStr">
        <is>
          <t>34 (22 in the sub-assemblies + 12 'rail mount' in Frame)</t>
        </is>
      </c>
      <c r="F5" s="26" t="inlineStr">
        <is>
          <t>Uses 34</t>
        </is>
      </c>
      <c r="G5" s="26" t="inlineStr">
        <is>
          <t>Frame has 12 T-nuts but only 8 M5 socket screws for the rail mount. Which is right?</t>
        </is>
      </c>
    </row>
    <row r="6">
      <c r="A6" s="26" t="n">
        <v>2</v>
      </c>
      <c r="B6" s="27" t="inlineStr">
        <is>
          <t>High</t>
        </is>
      </c>
      <c r="C6" s="26" t="inlineStr">
        <is>
          <t>M3 T-nuts</t>
        </is>
      </c>
      <c r="D6" s="26" t="inlineStr">
        <is>
          <t>36</t>
        </is>
      </c>
      <c r="E6" s="26" t="inlineStr">
        <is>
          <t>16 (4 feet + 12 rail screws)</t>
        </is>
      </c>
      <c r="F6" s="26" t="inlineStr">
        <is>
          <t>Uses 16</t>
        </is>
      </c>
      <c r="G6" s="26" t="inlineStr">
        <is>
          <t>Confirm no other M3 T-nut use exists in the CAD.</t>
        </is>
      </c>
    </row>
    <row r="7">
      <c r="A7" s="26" t="n">
        <v>3</v>
      </c>
      <c r="B7" s="27" t="inlineStr">
        <is>
          <t>High</t>
        </is>
      </c>
      <c r="C7" s="26" t="inlineStr">
        <is>
          <t>M5 socket screw 8 mm</t>
        </is>
      </c>
      <c r="D7" s="26" t="inlineStr">
        <is>
          <t>not listed</t>
        </is>
      </c>
      <c r="E7" s="26" t="inlineStr">
        <is>
          <t>8 (Frame, rail mount)</t>
        </is>
      </c>
      <c r="F7" s="26" t="inlineStr">
        <is>
          <t>Added</t>
        </is>
      </c>
      <c r="G7" s="26" t="inlineStr">
        <is>
          <t>–</t>
        </is>
      </c>
    </row>
    <row r="8">
      <c r="A8" s="26" t="n">
        <v>4</v>
      </c>
      <c r="B8" s="27" t="inlineStr">
        <is>
          <t>High</t>
        </is>
      </c>
      <c r="C8" s="26" t="inlineStr">
        <is>
          <t>M3 countersunk screws</t>
        </is>
      </c>
      <c r="D8" s="26" t="inlineStr">
        <is>
          <t>5 mm x10, 6 mm x31, 8 mm x4</t>
        </is>
      </c>
      <c r="E8" s="26" t="inlineStr">
        <is>
          <t>5 mm x11, 6 mm x21, 8 mm x2, plus 12 mm x4, 20 mm x2, 30 mm x4</t>
        </is>
      </c>
      <c r="F8" s="26" t="inlineStr">
        <is>
          <t>Uses sub-assembly figures; added 12/20/30 mm</t>
        </is>
      </c>
      <c r="G8" s="26" t="inlineStr">
        <is>
          <t>Old master also had M3 button 20 mm x2 with no use; I assumed that is the 20 mm countersunk. OK?</t>
        </is>
      </c>
    </row>
    <row r="9">
      <c r="A9" s="26" t="n">
        <v>5</v>
      </c>
      <c r="B9" s="27" t="inlineStr">
        <is>
          <t>High</t>
        </is>
      </c>
      <c r="C9" s="26" t="inlineStr">
        <is>
          <t>M5 countersunk 20 mm</t>
        </is>
      </c>
      <c r="D9" s="26" t="inlineStr">
        <is>
          <t>x12, described as 25 mm</t>
        </is>
      </c>
      <c r="E9" s="26" t="inlineStr">
        <is>
          <t>x4 at 20 mm</t>
        </is>
      </c>
      <c r="F9" s="26" t="inlineStr">
        <is>
          <t>Uses 4 at 20 mm</t>
        </is>
      </c>
      <c r="G9" s="26" t="inlineStr">
        <is>
          <t>Confirm length (20 or 25).</t>
        </is>
      </c>
    </row>
    <row r="10">
      <c r="A10" s="26" t="n">
        <v>6</v>
      </c>
      <c r="B10" s="27" t="inlineStr">
        <is>
          <t>High</t>
        </is>
      </c>
      <c r="C10" s="26" t="inlineStr">
        <is>
          <t>M5 button screws</t>
        </is>
      </c>
      <c r="D10" s="26" t="inlineStr">
        <is>
          <t>22 at 12 mm</t>
        </is>
      </c>
      <c r="E10" s="26" t="inlineStr">
        <is>
          <t>Cube bolts: 22 at 12 mm (confirmed); plus 6 at 8 mm</t>
        </is>
      </c>
      <c r="F10" s="26" t="inlineStr">
        <is>
          <t>22 cap head x 12 mm for the cubes, and a separate 6 x 8 mm button line</t>
        </is>
      </c>
      <c r="G10" s="26" t="inlineStr">
        <is>
          <t>None: the 6 x 8 mm button screws are confirmed separate from the 22 x 12 mm cube bolts</t>
        </is>
      </c>
    </row>
    <row r="11">
      <c r="A11" s="26" t="n">
        <v>7</v>
      </c>
      <c r="B11" s="29" t="inlineStr">
        <is>
          <t>Resolved</t>
        </is>
      </c>
      <c r="C11" s="26" t="inlineStr">
        <is>
          <t>Pulley split</t>
        </is>
      </c>
      <c r="D11" s="26" t="inlineStr">
        <is>
          <t>2 drive, 4 smooth, 8 toothed</t>
        </is>
      </c>
      <c r="E11" s="26" t="inlineStr">
        <is>
          <t>2 drive, 6 smooth, 6 toothed (14 total both ways)</t>
        </is>
      </c>
      <c r="F11" s="26" t="inlineStr">
        <is>
          <t>Uses 4 smooth / 8 toothed (your confirmation); the sub-assembly blocks are the ones that are wrong</t>
        </is>
      </c>
      <c r="G11" s="26" t="inlineStr">
        <is>
          <t>Optional: fix the two sub-assembly lines that say smooth but are toothed</t>
        </is>
      </c>
    </row>
    <row r="12">
      <c r="A12" s="26" t="n">
        <v>8</v>
      </c>
      <c r="B12" s="27" t="inlineStr">
        <is>
          <t>High</t>
        </is>
      </c>
      <c r="C12" s="26" t="inlineStr">
        <is>
          <t>Optical endstops</t>
        </is>
      </c>
      <c r="D12" s="26" t="inlineStr">
        <is>
          <t>not listed</t>
        </is>
      </c>
      <c r="E12" s="26" t="inlineStr">
        <is>
          <t>CAD has an optical endstop mount; STLs for X and Y endstop mounts</t>
        </is>
      </c>
      <c r="F12" s="26" t="inlineStr">
        <is>
          <t>Added x2, type unknown</t>
        </is>
      </c>
      <c r="G12" s="26" t="inlineStr">
        <is>
          <t>Which sensor and how many?</t>
        </is>
      </c>
    </row>
    <row r="13">
      <c r="A13" s="26" t="n">
        <v>9</v>
      </c>
      <c r="B13" s="29" t="inlineStr">
        <is>
          <t>Resolved</t>
        </is>
      </c>
      <c r="C13" s="26" t="inlineStr">
        <is>
          <t>Motor cables</t>
        </is>
      </c>
      <c r="D13" s="26" t="inlineStr">
        <is>
          <t>one cable only</t>
        </is>
      </c>
      <c r="E13" s="26" t="inlineStr">
        <is>
          <t>X (750 mm) and Y (500 mm) cables also in Electronics block</t>
        </is>
      </c>
      <c r="F13" s="26" t="inlineStr">
        <is>
          <t>Added both</t>
        </is>
      </c>
      <c r="G13" s="26" t="inlineStr">
        <is>
          <t>Resolved: you use 26 AWG 3- and 4-core PVC cable (suits JST PH). Confirm lengths and where the 3-core goes.</t>
        </is>
      </c>
    </row>
    <row r="14">
      <c r="A14" s="26" t="n">
        <v>10</v>
      </c>
      <c r="B14" s="29" t="inlineStr">
        <is>
          <t>Resolved</t>
        </is>
      </c>
      <c r="C14" s="26" t="inlineStr">
        <is>
          <t>Metal bed</t>
        </is>
      </c>
      <c r="D14" s="26" t="inlineStr">
        <is>
          <t>not listed</t>
        </is>
      </c>
      <c r="E14" s="26" t="inlineStr">
        <is>
          <t>'metal bed' folder: DXF profile and vinyl artwork; you had it made for £100 (ferrous Dibond-style, cut to shape)</t>
        </is>
      </c>
      <c r="F14" s="26" t="inlineStr">
        <is>
          <t>Added as an alternative to the plywood base, priced at £100, with the countersink-before-sticker note</t>
        </is>
      </c>
      <c r="G14" s="26" t="inlineStr">
        <is>
          <t>Confirm whether £100 includes the sticker, and which screws fix the bed (countersunk size/count)</t>
        </is>
      </c>
    </row>
    <row r="15">
      <c r="A15" s="26" t="n">
        <v>11</v>
      </c>
      <c r="B15" s="28" t="inlineStr">
        <is>
          <t>Medium</t>
        </is>
      </c>
      <c r="C15" s="26" t="inlineStr">
        <is>
          <t>12 V 2 A supply</t>
        </is>
      </c>
      <c r="D15" s="26" t="inlineStr">
        <is>
          <t>2 A</t>
        </is>
      </c>
      <c r="E15" s="26" t="inlineStr">
        <is>
          <t>–</t>
        </is>
      </c>
      <c r="F15" s="26" t="inlineStr">
        <is>
          <t>Flagged</t>
        </is>
      </c>
      <c r="G15" s="26" t="inlineStr">
        <is>
          <t>Likely marginal for 2 x 1.7 A motors + the NEMA 14 and controller. Check your measured draw.</t>
        </is>
      </c>
    </row>
    <row r="16">
      <c r="A16" s="26" t="n">
        <v>12</v>
      </c>
      <c r="B16" s="28" t="inlineStr">
        <is>
          <t>Medium</t>
        </is>
      </c>
      <c r="C16" s="26" t="inlineStr">
        <is>
          <t>M2 screws and inserts</t>
        </is>
      </c>
      <c r="D16" s="26" t="inlineStr">
        <is>
          <t>M2 CSK 5 mm; insert m2x3</t>
        </is>
      </c>
      <c r="E16" s="26" t="inlineStr">
        <is>
          <t>M2 CSK 6 mm; insert m2x6</t>
        </is>
      </c>
      <c r="F16" s="26" t="inlineStr">
        <is>
          <t>Used tool-head figures, flagged</t>
        </is>
      </c>
      <c r="G16" s="26" t="inlineStr">
        <is>
          <t>Confirm lengths.</t>
        </is>
      </c>
    </row>
    <row r="17">
      <c r="A17" s="26" t="n">
        <v>13</v>
      </c>
      <c r="B17" s="28" t="inlineStr">
        <is>
          <t>Medium</t>
        </is>
      </c>
      <c r="C17" s="26" t="inlineStr">
        <is>
          <t>M3 thumb screws</t>
        </is>
      </c>
      <c r="D17" s="26" t="inlineStr">
        <is>
          <t>15 mm x1 and 30 mm x1</t>
        </is>
      </c>
      <c r="E17" s="26" t="inlineStr">
        <is>
          <t>24 mm x1</t>
        </is>
      </c>
      <c r="F17" s="26" t="inlineStr">
        <is>
          <t>Used 24 mm, flagged</t>
        </is>
      </c>
      <c r="G17" s="26" t="inlineStr">
        <is>
          <t>Confirm.</t>
        </is>
      </c>
    </row>
    <row r="18">
      <c r="A18" s="26" t="n">
        <v>14</v>
      </c>
      <c r="B18" s="28" t="inlineStr">
        <is>
          <t>Medium</t>
        </is>
      </c>
      <c r="C18" s="26" t="inlineStr">
        <is>
          <t>Nylon standoffs</t>
        </is>
      </c>
      <c r="D18" s="26" t="inlineStr">
        <is>
          <t>not listed</t>
        </is>
      </c>
      <c r="E18" s="26" t="inlineStr">
        <is>
          <t>M3 x 20 mm standoff x2</t>
        </is>
      </c>
      <c r="F18" s="26" t="inlineStr">
        <is>
          <t>Added</t>
        </is>
      </c>
      <c r="G18" s="26" t="inlineStr">
        <is>
          <t>–</t>
        </is>
      </c>
    </row>
    <row r="19">
      <c r="A19" s="26" t="n">
        <v>15</v>
      </c>
      <c r="B19" s="28" t="inlineStr">
        <is>
          <t>Medium</t>
        </is>
      </c>
      <c r="C19" s="26" t="inlineStr">
        <is>
          <t>Hex keys</t>
        </is>
      </c>
      <c r="D19" s="26" t="inlineStr">
        <is>
          <t>1.27, 2, 3 mm</t>
        </is>
      </c>
      <c r="E19" s="26" t="inlineStr">
        <is>
          <t>Screws need 1.5, 2, 2.5, 3, 4 mm</t>
        </is>
      </c>
      <c r="F19" s="26" t="inlineStr">
        <is>
          <t>Replaced by one set</t>
        </is>
      </c>
      <c r="G19" s="26" t="inlineStr">
        <is>
          <t>–</t>
        </is>
      </c>
    </row>
    <row r="20">
      <c r="A20" s="26" t="n">
        <v>16</v>
      </c>
      <c r="B20" s="29" t="inlineStr">
        <is>
          <t>Resolved</t>
        </is>
      </c>
      <c r="C20" s="26" t="inlineStr">
        <is>
          <t>Corner cube bolts</t>
        </is>
      </c>
      <c r="D20" s="26" t="inlineStr">
        <is>
          <t>none</t>
        </is>
      </c>
      <c r="E20" s="26" t="inlineStr">
        <is>
          <t>M5 cap head bolts through the cubes into tapped extrusion ends (no T-nuts)</t>
        </is>
      </c>
      <c r="F20" s="26" t="inlineStr">
        <is>
          <t>Set to 22 x 12 mm cap head (your confirmation); extrusion ends noted as tapped</t>
        </is>
      </c>
      <c r="G20" s="26" t="inlineStr">
        <is>
          <t>None: the 6 x 8 mm button screws are confirmed separate from the 22 x 12 mm cube bolts</t>
        </is>
      </c>
    </row>
    <row r="21">
      <c r="A21" s="26" t="n">
        <v>17</v>
      </c>
      <c r="B21" s="28" t="inlineStr">
        <is>
          <t>Medium</t>
        </is>
      </c>
      <c r="C21" s="26" t="inlineStr">
        <is>
          <t>ESP32 controller</t>
        </is>
      </c>
      <c r="D21" s="26" t="inlineStr">
        <is>
          <t>'Emerald Dingo', no source</t>
        </is>
      </c>
      <c r="E21" s="26" t="inlineStr">
        <is>
          <t>CAD: ESP32_Plotter_Controller_revB1</t>
        </is>
      </c>
      <c r="F21" s="26" t="inlineStr">
        <is>
          <t>Flagged, no link</t>
        </is>
      </c>
      <c r="G21" s="26" t="inlineStr">
        <is>
          <t>Add your own board's source/link.</t>
        </is>
      </c>
    </row>
    <row r="22">
      <c r="A22" s="26" t="n">
        <v>18</v>
      </c>
      <c r="B22" s="29" t="inlineStr">
        <is>
          <t>Low</t>
        </is>
      </c>
      <c r="C22" s="26" t="inlineStr">
        <is>
          <t>Baseboard thickness</t>
        </is>
      </c>
      <c r="D22" s="26" t="inlineStr">
        <is>
          <t>12.5 mm</t>
        </is>
      </c>
      <c r="E22" s="26" t="inlineStr">
        <is>
          <t>–</t>
        </is>
      </c>
      <c r="F22" s="26" t="inlineStr">
        <is>
          <t>Flagged</t>
        </is>
      </c>
      <c r="G22" s="26" t="inlineStr">
        <is>
          <t>EKOply is normally 12 mm.</t>
        </is>
      </c>
    </row>
    <row r="23">
      <c r="A23" s="26" t="n">
        <v>19</v>
      </c>
      <c r="B23" s="29" t="inlineStr">
        <is>
          <t>Low</t>
        </is>
      </c>
      <c r="C23" s="26" t="inlineStr">
        <is>
          <t>Uprights / legs length</t>
        </is>
      </c>
      <c r="D23" s="26" t="inlineStr">
        <is>
          <t>45 mm</t>
        </is>
      </c>
      <c r="E23" s="26" t="inlineStr">
        <is>
          <t>CAD part named '...Extrusion40'; you think you cut them to 50 mm</t>
        </is>
      </c>
      <c r="F23" s="26" t="inlineStr">
        <is>
          <t>Set to 50 mm, flagged</t>
        </is>
      </c>
      <c r="G23" s="26" t="inlineStr">
        <is>
          <t>Measure a built leg and confirm 50 mm</t>
        </is>
      </c>
    </row>
    <row r="24">
      <c r="A24" s="26" t="n">
        <v>20</v>
      </c>
      <c r="B24" s="29" t="inlineStr">
        <is>
          <t>Low</t>
        </is>
      </c>
      <c r="C24" s="26" t="inlineStr">
        <is>
          <t>CAD instance counts</t>
        </is>
      </c>
      <c r="D24" s="26" t="inlineStr">
        <is>
          <t>8 cubes, 2 brackets</t>
        </is>
      </c>
      <c r="E24" s="26" t="inlineStr">
        <is>
          <t>CAD has 16 cube bodies and 6 bracket bodies</t>
        </is>
      </c>
      <c r="F24" s="26" t="inlineStr">
        <is>
          <t>Not changed</t>
        </is>
      </c>
      <c r="G24" s="26" t="inlineStr">
        <is>
          <t>Probably leftovers in the CAD; the screw counts agree with 8 cubes and 2 brackets.</t>
        </is>
      </c>
    </row>
    <row r="25">
      <c r="A25" s="26" t="n">
        <v>21</v>
      </c>
      <c r="B25" s="29" t="inlineStr">
        <is>
          <t>Resolved</t>
        </is>
      </c>
      <c r="C25" s="26" t="inlineStr">
        <is>
          <t>Printed parts</t>
        </is>
      </c>
      <c r="D25" s="26" t="inlineStr">
        <is>
          <t>none</t>
        </is>
      </c>
      <c r="E25" s="26" t="inlineStr">
        <is>
          <t>Many STLs in /STLs</t>
        </is>
      </c>
      <c r="F25" s="26" t="inlineStr">
        <is>
          <t>Added as section 10 of the BOM sheet, matched to your part codes by file name</t>
        </is>
      </c>
      <c r="G25" s="26" t="inlineStr">
        <is>
          <t>Confirm the 'CHECK' matches and the three codes with no STL</t>
        </is>
      </c>
    </row>
    <row r="26">
      <c r="A26" s="26" t="n">
        <v>22</v>
      </c>
      <c r="B26" s="29" t="inlineStr">
        <is>
          <t>Low</t>
        </is>
      </c>
      <c r="C26" s="26" t="inlineStr">
        <is>
          <t>Typos / stray data</t>
        </is>
      </c>
      <c r="D26" s="26" t="inlineStr">
        <is>
          <t>e.g. pulley rows hold '10', '20', '20' in the Length column; M3 button 20 and 25 described as 6 mm; Y Idler Top and Y Motor Top described as 'X ...'</t>
        </is>
      </c>
      <c r="E26" s="26" t="inlineStr">
        <is>
          <t>–</t>
        </is>
      </c>
      <c r="F26" s="26" t="inlineStr">
        <is>
          <t>Cleaned up</t>
        </is>
      </c>
      <c r="G26" s="26" t="inlineStr">
        <is>
          <t>–</t>
        </is>
      </c>
    </row>
    <row r="27">
      <c r="A27" s="26" t="n">
        <v>23</v>
      </c>
      <c r="B27" s="27" t="inlineStr">
        <is>
          <t>High</t>
        </is>
      </c>
      <c r="C27" s="26" t="inlineStr">
        <is>
          <t>Stepper drivers</t>
        </is>
      </c>
      <c r="D27" s="26" t="inlineStr">
        <is>
          <t>not listed</t>
        </is>
      </c>
      <c r="E27" s="26" t="inlineStr">
        <is>
          <t>terrapen.xyz: Emerald Dingo has TMC2130 sockets and ships without drivers</t>
        </is>
      </c>
      <c r="F27" s="26" t="inlineStr">
        <is>
          <t>Added TMC2130 x2 (x3 if Z runs from the controller)</t>
        </is>
      </c>
      <c r="G27" s="26" t="inlineStr">
        <is>
          <t>Is Z driven from the controller or from the EBB42?</t>
        </is>
      </c>
    </row>
    <row r="28">
      <c r="A28" s="26" t="n">
        <v>22</v>
      </c>
      <c r="B28" s="27" t="inlineStr">
        <is>
          <t>High</t>
        </is>
      </c>
      <c r="C28" s="26" t="inlineStr">
        <is>
          <t>Z axis is now a NEMA 14 stepper</t>
        </is>
      </c>
      <c r="D28" s="26" t="inlineStr">
        <is>
          <t>Previous pen-lift parts</t>
        </is>
      </c>
      <c r="E28" s="26" t="inlineStr">
        <is>
          <t>Z-stepper README: ABS head, TPU pen insert, BTT EBB42 CAN board; STLs stepper_*, Nema14mount2carriage</t>
        </is>
      </c>
      <c r="F28" s="26" t="inlineStr">
        <is>
          <t>Removed the previous pen-lift parts; added a Z-stepper head section and the stepper STLs; shared fasteners flagged to recount</t>
        </is>
      </c>
      <c r="G28" s="26" t="inlineStr">
        <is>
          <t>Which NEMA 14, belt length/type, how the CAN board connects, and the stepper head's screw list</t>
        </is>
      </c>
    </row>
    <row r="29">
      <c r="A29" s="30" t="inlineStr">
        <is>
          <t>Checked and matched</t>
        </is>
      </c>
    </row>
    <row r="30">
      <c r="B30" s="31" t="inlineStr">
        <is>
          <t>Extrusion lengths and counts (760 x4, 560 x4, 710 x1)</t>
        </is>
      </c>
    </row>
    <row r="31">
      <c r="B31" s="31" t="inlineStr">
        <is>
          <t>GT2 belt (2 x 3 m) and drive pulleys (2)</t>
        </is>
      </c>
    </row>
    <row r="32">
      <c r="B32" s="31" t="inlineStr">
        <is>
          <t>Linear rails (MGN9H 540 x2, 710 x1; MGN7H 50 x1)</t>
        </is>
      </c>
    </row>
    <row r="33">
      <c r="B33" s="31" t="inlineStr">
        <is>
          <t>Cable chain (2 m)</t>
        </is>
      </c>
    </row>
    <row r="34">
      <c r="B34" s="31" t="inlineStr">
        <is>
          <t>M3 heat-set inserts (26)</t>
        </is>
      </c>
    </row>
    <row r="35">
      <c r="B35" s="31" t="inlineStr">
        <is>
          <t>M3 socket 8 mm (12), M3 button 6 mm (4) and 25 mm (2), M2 socket (4)</t>
        </is>
      </c>
    </row>
    <row r="36">
      <c r="B36" s="31" t="inlineStr">
        <is>
          <t>M5 countersunk 8 mm (18)</t>
        </is>
      </c>
    </row>
    <row r="37">
      <c r="B37" s="31" t="n"/>
    </row>
  </sheetData>
  <mergeCells count="9">
    <mergeCell ref="B31:E31"/>
    <mergeCell ref="B35:E35"/>
    <mergeCell ref="B34:E34"/>
    <mergeCell ref="B30:E30"/>
    <mergeCell ref="B33:E33"/>
    <mergeCell ref="A2:G2"/>
    <mergeCell ref="B37:E37"/>
    <mergeCell ref="B36:E36"/>
    <mergeCell ref="B32:E3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2026-10-06T18:30:31Z</dcterms:created>
  <dcterms:modified xmlns:dcterms="http://purl.org/dc/terms/" xmlns:xsi="http://www.w3.org/2001/XMLSchema-instance" xsi:type="dcterms:W3CDTF">2026-10-06T19:02:03Z</dcterms:modified>
</cp:coreProperties>
</file>