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dwar\Documents\GitHub\terraPen_mechanical_design_files\"/>
    </mc:Choice>
  </mc:AlternateContent>
  <xr:revisionPtr revIDLastSave="0" documentId="13_ncr:1_{62AB6B2C-0B87-4F1B-9696-722FDDC1628C}" xr6:coauthVersionLast="47" xr6:coauthVersionMax="47" xr10:uidLastSave="{00000000-0000-0000-0000-000000000000}"/>
  <bookViews>
    <workbookView xWindow="-98" yWindow="-98" windowWidth="28996" windowHeight="17475" activeTab="2" xr2:uid="{00000000-000D-0000-FFFF-FFFF00000000}"/>
  </bookViews>
  <sheets>
    <sheet name="BOM" sheetId="1" r:id="rId1"/>
    <sheet name="Fixings by part" sheetId="2" r:id="rId2"/>
    <sheet name="Fixings totals" sheetId="3" r:id="rId3"/>
    <sheet name="Cable leads" sheetId="4" r:id="rId4"/>
  </sheets>
  <definedNames>
    <definedName name="_xlnm.Print_Titles" localSheetId="0">BOM!$5:$5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 l="1"/>
  <c r="B24" i="3"/>
  <c r="B23" i="3"/>
  <c r="B22" i="3"/>
  <c r="B21" i="3"/>
  <c r="B20" i="3"/>
  <c r="B19" i="3"/>
  <c r="B18" i="3"/>
  <c r="B17" i="3"/>
  <c r="B16" i="3"/>
  <c r="B15" i="3"/>
  <c r="B14" i="3"/>
  <c r="B13" i="3"/>
  <c r="B12" i="3"/>
  <c r="B11" i="3"/>
  <c r="B10" i="3"/>
  <c r="B9" i="3"/>
  <c r="B8" i="3"/>
  <c r="B7" i="3"/>
  <c r="B6" i="3"/>
  <c r="B5" i="3"/>
</calcChain>
</file>

<file path=xl/sharedStrings.xml><?xml version="1.0" encoding="utf-8"?>
<sst xmlns="http://schemas.openxmlformats.org/spreadsheetml/2006/main" count="1621" uniqueCount="741">
  <si>
    <t>terraPen A2 – Bill of Materials (v2.4)</t>
  </si>
  <si>
    <t>Public bill of materials for one terraPen A2. Prices are kept in a separate internal workbook.</t>
  </si>
  <si>
    <t>Status:</t>
  </si>
  <si>
    <t>OK – matches old master</t>
  </si>
  <si>
    <t>CHANGED – qty differs from old master</t>
  </si>
  <si>
    <t>NEW – missing from old master</t>
  </si>
  <si>
    <t>CHECK – needs your decision</t>
  </si>
  <si>
    <t>Ref</t>
  </si>
  <si>
    <t>Part</t>
  </si>
  <si>
    <t>Spec / size</t>
  </si>
  <si>
    <t>Qty</t>
  </si>
  <si>
    <t>Used in</t>
  </si>
  <si>
    <t>Supplier</t>
  </si>
  <si>
    <t>Primary link</t>
  </si>
  <si>
    <t>eBay UK</t>
  </si>
  <si>
    <t>Amazon UK</t>
  </si>
  <si>
    <t>AliExpress</t>
  </si>
  <si>
    <t>1  FRAME &amp; STRUCTURE</t>
  </si>
  <si>
    <t>1.01</t>
  </si>
  <si>
    <t>2020 T-slot extrusion</t>
  </si>
  <si>
    <t>760 mm, cut, M5 tapped both ends</t>
  </si>
  <si>
    <t>Frame – width</t>
  </si>
  <si>
    <t>KJN Aluminium Profile (cut to size)</t>
  </si>
  <si>
    <t>Open page</t>
  </si>
  <si>
    <t>eBay</t>
  </si>
  <si>
    <t>Amazon</t>
  </si>
  <si>
    <t>1.02</t>
  </si>
  <si>
    <t>560 mm, cut, M5 tapped both ends</t>
  </si>
  <si>
    <t>Frame – length</t>
  </si>
  <si>
    <t>1.03</t>
  </si>
  <si>
    <t>710 mm, cut (X rail)</t>
  </si>
  <si>
    <t>Frame – X rail</t>
  </si>
  <si>
    <t>1.04</t>
  </si>
  <si>
    <t>50 mm, cut (uprights / legs), M5 tapped both ends</t>
  </si>
  <si>
    <t>Frame – height</t>
  </si>
  <si>
    <t>1.05</t>
  </si>
  <si>
    <t>2020 corner cube connector</t>
  </si>
  <si>
    <t>3-way, 20x20x20, black, 6 mm T-slot; sold as 12 with screws</t>
  </si>
  <si>
    <t>Frame – corners</t>
  </si>
  <si>
    <t>AliExpress (12 pcs)</t>
  </si>
  <si>
    <t>1.06</t>
  </si>
  <si>
    <t>2020 corner bracket</t>
  </si>
  <si>
    <t>90 degree, 20 x 20 x 17 mm aluminium; sold as 10 (5 machines)</t>
  </si>
  <si>
    <t>Frame</t>
  </si>
  <si>
    <t>AliExpress (10 pcs)</t>
  </si>
  <si>
    <t>1.07</t>
  </si>
  <si>
    <t>Rubber feet</t>
  </si>
  <si>
    <t>20 mm dia x 15 mm high, conical black rubber with steel washer; sold in lots of 4 (one machine)</t>
  </si>
  <si>
    <t>Frame – base</t>
  </si>
  <si>
    <t>AliExpress (lot of 4)</t>
  </si>
  <si>
    <t>1.09</t>
  </si>
  <si>
    <t>Metal baseboard with vinyl sticker</t>
  </si>
  <si>
    <t>Ferrous Dibond-style composite, cut to shape; profile 'tP_Bed_Profile_Revised.dxf', artwork 'Diabond vinyl revised .ai' (both in /metal bed)</t>
  </si>
  <si>
    <t>Base</t>
  </si>
  <si>
    <t>Local sign shop</t>
  </si>
  <si>
    <t>DXF file</t>
  </si>
  <si>
    <t>–</t>
  </si>
  <si>
    <t>1.10</t>
  </si>
  <si>
    <t>IR Cover reduction profile (5), black (cosmetic slot cover)</t>
  </si>
  <si>
    <t>KJN37080, 2 m lengths, fits the 5 mm slot; cut list about 5.8 m (6 x 560, 2 x 760, 1 x 710, 4 x 50 mm)</t>
  </si>
  <si>
    <t>Frame – top and side trim, front legs</t>
  </si>
  <si>
    <t>KJN Aluminium Profile</t>
  </si>
  <si>
    <t>1.11</t>
  </si>
  <si>
    <t>Corner cube hole caps, plastic</t>
  </si>
  <si>
    <t>11 mm plastic caps; sold as 100 pcs</t>
  </si>
  <si>
    <t>Frame corners (cubes)</t>
  </si>
  <si>
    <t>eBay UK (100 pcs)</t>
  </si>
  <si>
    <t>1.12</t>
  </si>
  <si>
    <t>Rubber bungs</t>
  </si>
  <si>
    <t>11 mm rubber bungs; sold as 50 pcs</t>
  </si>
  <si>
    <t>Both sides of the plotter</t>
  </si>
  <si>
    <t>eBay UK (50 pcs)</t>
  </si>
  <si>
    <t>1.13</t>
  </si>
  <si>
    <t>Neodymium magnets</t>
  </si>
  <si>
    <t>Strong rare-earth magnets; sold as 50</t>
  </si>
  <si>
    <t>Metal bed (4 per machine); where exactly to confirm</t>
  </si>
  <si>
    <t>1.14</t>
  </si>
  <si>
    <t>Neodymium magnets, black, second listing</t>
  </si>
  <si>
    <t>Sold as 4</t>
  </si>
  <si>
    <t>To confirm</t>
  </si>
  <si>
    <t>eBay UK (4 pcs)</t>
  </si>
  <si>
    <t>2  LINEAR MOTION</t>
  </si>
  <si>
    <t>2.01</t>
  </si>
  <si>
    <t>Linear rail + 1 block, MGN9H</t>
  </si>
  <si>
    <t>540 mm (Y axis)</t>
  </si>
  <si>
    <t>Y left / Y right</t>
  </si>
  <si>
    <t>Jugetek (custom cut)</t>
  </si>
  <si>
    <t>2.02</t>
  </si>
  <si>
    <t>710 mm (X axis)</t>
  </si>
  <si>
    <t>X rail / carriage</t>
  </si>
  <si>
    <t>2.03</t>
  </si>
  <si>
    <t>Linear rail + 1 block, MGN7H</t>
  </si>
  <si>
    <t>50 mm (Z / pen lift)</t>
  </si>
  <si>
    <t>Tool head</t>
  </si>
  <si>
    <t>3  DRIVE – BELTS, PULLEYS, MOTORS</t>
  </si>
  <si>
    <t>3.01</t>
  </si>
  <si>
    <t>GT2 timing belt, open</t>
  </si>
  <si>
    <t>6 mm wide, open-ended, rubber/aramid; 4.2 m per machine (qty is in metres)</t>
  </si>
  <si>
    <t>X and Y belts</t>
  </si>
  <si>
    <t>AliExpress (5 m length)</t>
  </si>
  <si>
    <t>3.02</t>
  </si>
  <si>
    <t>GT2 pulley, toothed drive</t>
  </si>
  <si>
    <t>20T, 5 mm bore, 6 mm belt; sold as 10</t>
  </si>
  <si>
    <t>X motor, Y motor</t>
  </si>
  <si>
    <t>3.03</t>
  </si>
  <si>
    <t>GT2 idler, smooth</t>
  </si>
  <si>
    <t>20T smooth (no teeth), 5 mm bore, 6 mm belt, with bearing; sold as 4</t>
  </si>
  <si>
    <t>X/Y idlers, Y left/right, motor mounts</t>
  </si>
  <si>
    <t>AliExpress (4 pcs)</t>
  </si>
  <si>
    <t>3.04</t>
  </si>
  <si>
    <t>GT2 idler, toothed</t>
  </si>
  <si>
    <t>20T, 5 mm bore, 6 mm belt, with bearing; sold as 10</t>
  </si>
  <si>
    <t>3.05</t>
  </si>
  <si>
    <t>NEMA 17 stepper motor, 17HS15-1504S-X1</t>
  </si>
  <si>
    <t>42x42x39 mm (page also says 40), 1.8 deg, 1.5 A, 45 N.cm, 2.3 ohm, 4.4 mH; 5 mm D-cut shaft; 1 m lead with pin connector</t>
  </si>
  <si>
    <t>StepperOnline UK</t>
  </si>
  <si>
    <t>4  ELECTRONICS</t>
  </si>
  <si>
    <t>4.01</t>
  </si>
  <si>
    <t>Emerald Dingo ESP32 plotter controller (RevB)</t>
  </si>
  <si>
    <t>FluidNC, 2-axis, TMC2130 driver sockets, USB-C</t>
  </si>
  <si>
    <t>Electronics enclosure</t>
  </si>
  <si>
    <t>terrapen.xyz</t>
  </si>
  <si>
    <t>4.02</t>
  </si>
  <si>
    <t>TMC2130 stepper driver</t>
  </si>
  <si>
    <t>3: X, Y and Z (Z via the Z-axis add-on)</t>
  </si>
  <si>
    <t>Controller</t>
  </si>
  <si>
    <t>4.03</t>
  </si>
  <si>
    <t>Emerald Dingo Z-axis add-on</t>
  </si>
  <si>
    <t>Z motor add-on; the Z lead plugs into this</t>
  </si>
  <si>
    <t>4.04</t>
  </si>
  <si>
    <t>Micro SD card, 2 GB</t>
  </si>
  <si>
    <t>Cloudisk 2 GB microSD with adapter; sold as 5</t>
  </si>
  <si>
    <t>Amazon UK (5 pack)</t>
  </si>
  <si>
    <t>4.05</t>
  </si>
  <si>
    <t>Power supply, 12 V dc, 2.5 A (Ideal Power 15DYS830-120250W-K)</t>
  </si>
  <si>
    <t>12 V 2.5 A, 2.1 x 5.5 mm centre-positive barrel plug, 1.5 m lead, interchangeable AU/EU/UK/US mains plugs</t>
  </si>
  <si>
    <t>Power</t>
  </si>
  <si>
    <t>Farnell UK</t>
  </si>
  <si>
    <t>4.06</t>
  </si>
  <si>
    <t>Motor cable, 4-way</t>
  </si>
  <si>
    <t>4-core PVC cable, 26 AWG, flexible, unshielded, 920 mm, JST PH 2.0</t>
  </si>
  <si>
    <t>X motor</t>
  </si>
  <si>
    <t>4.07</t>
  </si>
  <si>
    <t>4-core PVC cable, 26 AWG, flexible, unshielded, 515 mm, JST PH 2.0</t>
  </si>
  <si>
    <t>Y motor</t>
  </si>
  <si>
    <t>4.08</t>
  </si>
  <si>
    <t>Hook-up wire, Alpha Wire 3049 BK001</t>
  </si>
  <si>
    <t>26 AWG PVC black, 7 x 34 tinned stranded, 300 V (order code 01-5540). Sold on a 1000 ft (304.8 m) reel; only part of it is used per machine</t>
  </si>
  <si>
    <t>Z motor lead (4 x 2100 mm) and X endstop lead (3 x 2100 mm) = 14.7 m, 15 m with trimming</t>
  </si>
  <si>
    <t>Rapid Electronics</t>
  </si>
  <si>
    <t>4.09</t>
  </si>
  <si>
    <t>Multicore cable, 4-core PVC</t>
  </si>
  <si>
    <t>26 AWG, flexible PVC, unshielded: X lead 920 mm + Y lead 515 mm (1.435 m), plus spare</t>
  </si>
  <si>
    <t>X and Y motors</t>
  </si>
  <si>
    <t>eBay UK (20 m reel)</t>
  </si>
  <si>
    <t>4.10</t>
  </si>
  <si>
    <t>Multicore cable, 3-core PVC</t>
  </si>
  <si>
    <t>3-core PVC, 26 AWG (confirm); Y endstop lead only, 920 mm, plus spare</t>
  </si>
  <si>
    <t>Y endstop</t>
  </si>
  <si>
    <t>4.11</t>
  </si>
  <si>
    <t>JST PH 2.0 connector kit</t>
  </si>
  <si>
    <t>420 pcs: PH housings (2 to 6-way, male and female) and 270 crimp terminals; sold as one kit</t>
  </si>
  <si>
    <t>All JST PH plugs: controller ends (3 x 4-way motor/Z, 2 x 3-way endstop) and motor ends (2 x 6-way)</t>
  </si>
  <si>
    <t>eBay UK (kit)</t>
  </si>
  <si>
    <t>4.12</t>
  </si>
  <si>
    <t>Insulation tape for colour-coding</t>
  </si>
  <si>
    <t>Red, green, yellow and blue, cut into 1 mm strips wrapped near each crimp</t>
  </si>
  <si>
    <t>Z lead and other single-core wires</t>
  </si>
  <si>
    <t>Local shop (similar on eBay)</t>
  </si>
  <si>
    <t>4.13</t>
  </si>
  <si>
    <t>JST SM 2.54 mm connector kit</t>
  </si>
  <si>
    <t>200 pcs: SM-02 to SM-05 male and female housings (5 of each) + 80 bare female and 80 bare male terminals</t>
  </si>
  <si>
    <t>Z motor lead (1 x 4F, 1 x 4M); X and Y endstop leads (2 x 3F)</t>
  </si>
  <si>
    <t>4.14</t>
  </si>
  <si>
    <t>Optical endstop</t>
  </si>
  <si>
    <t>3-pin module (SIG / GND / VCC)</t>
  </si>
  <si>
    <t>X and Y limits</t>
  </si>
  <si>
    <t>Ooznest (SKU ESTOP-O)</t>
  </si>
  <si>
    <t>4.15</t>
  </si>
  <si>
    <t>Standoff, male-female, polyamide (WA-SPAIE)</t>
  </si>
  <si>
    <t>M3 x 18 mm, hex 6 mm, black; Wurth Elektronik 971180365</t>
  </si>
  <si>
    <t>Mouser UK</t>
  </si>
  <si>
    <t>4.16</t>
  </si>
  <si>
    <t>Standoff, male-female, nylon (Essentra 36M30MF016)</t>
  </si>
  <si>
    <t>M3 x 16 mm hex standoff, 6 mm hex, natural nylon 6/6 (Z add-on only)</t>
  </si>
  <si>
    <t>Electronics enclosure, only if you fit the Z-axis add-on</t>
  </si>
  <si>
    <t>4.17</t>
  </si>
  <si>
    <t>DC barrel jack: plug and socket pair</t>
  </si>
  <si>
    <t>Plug + female socket (size to confirm); sold as 10 pairs</t>
  </si>
  <si>
    <t>Power connection</t>
  </si>
  <si>
    <t>eBay UK (10 pairs)</t>
  </si>
  <si>
    <t>4.18</t>
  </si>
  <si>
    <t>Mains/power lead wire, 2-core 18 AWG</t>
  </si>
  <si>
    <t>18 AWG 2-core, 16 A rated; about 750 mm per machine, sold in 10 m lengths</t>
  </si>
  <si>
    <t>Power wiring</t>
  </si>
  <si>
    <t>eBay UK (10 m)</t>
  </si>
  <si>
    <t>4.19</t>
  </si>
  <si>
    <t>Power switch, rocker</t>
  </si>
  <si>
    <t>Rocker switch; sold as 5 pcs</t>
  </si>
  <si>
    <t>Power switch mount</t>
  </si>
  <si>
    <t>eBay UK (5 pcs)</t>
  </si>
  <si>
    <t>4.21</t>
  </si>
  <si>
    <t>Waveshare round display (terraDial)</t>
  </si>
  <si>
    <t>Optional dial controller module for the terraDial add-on</t>
  </si>
  <si>
    <t>Optional: terraDial</t>
  </si>
  <si>
    <t>5  CABLE MANAGEMENT &amp; MISC</t>
  </si>
  <si>
    <t>5.01</t>
  </si>
  <si>
    <t>Cable chain</t>
  </si>
  <si>
    <t>7 x 7 mm inner, black nylon, sold in 1 m lengths with 2 end connectors; about 1.4 m needed (qty in metres)</t>
  </si>
  <si>
    <t>Y right and carriage</t>
  </si>
  <si>
    <t>AliExpress (1 m lengths)</t>
  </si>
  <si>
    <t>5.02</t>
  </si>
  <si>
    <t>D-Line Micro+ trunking, black</t>
  </si>
  <si>
    <t>20 x 10 mm, 2 m length, self-adhesive (Screwfix 960RA); about 1.6 m needed</t>
  </si>
  <si>
    <t>Underside cable routing</t>
  </si>
  <si>
    <t>Screwfix</t>
  </si>
  <si>
    <t>5.03</t>
  </si>
  <si>
    <t>Trunking 90-degree flat corner</t>
  </si>
  <si>
    <t>Print your own (D_Line_20x10_Flat_corner.stl, see 10.50), or the D-Line accessories pack (5 pieces, black)</t>
  </si>
  <si>
    <t>Screwfix, or print in-house</t>
  </si>
  <si>
    <t>5.04</t>
  </si>
  <si>
    <t>Cable ties</t>
  </si>
  <si>
    <t>Black nylon, 2.5 mm wide; sold as 100</t>
  </si>
  <si>
    <t>General</t>
  </si>
  <si>
    <t>5.05</t>
  </si>
  <si>
    <t>Hex key set</t>
  </si>
  <si>
    <t>1.5 / 2 / 2.5 / 3 / 4 mm</t>
  </si>
  <si>
    <t>Assembly (tool)</t>
  </si>
  <si>
    <t>6  FASTENERS – M2</t>
  </si>
  <si>
    <t>6.02</t>
  </si>
  <si>
    <t>Socket head screw</t>
  </si>
  <si>
    <t>M2 x 8, self colour, hex socket</t>
  </si>
  <si>
    <t>Stepper tool head: MGN7H rail on the plate</t>
  </si>
  <si>
    <t>Allfix</t>
  </si>
  <si>
    <t>6.04</t>
  </si>
  <si>
    <t>Heat-set insert</t>
  </si>
  <si>
    <t>M2 x 3 mm brass</t>
  </si>
  <si>
    <t>eBay UK (100 pack)</t>
  </si>
  <si>
    <t>7  FASTENERS – M3</t>
  </si>
  <si>
    <t>7.01</t>
  </si>
  <si>
    <t>Countersunk screw</t>
  </si>
  <si>
    <t>M3 x 5, self colour, hex socket</t>
  </si>
  <si>
    <t>Y right, carriage, tool head</t>
  </si>
  <si>
    <t>7.02</t>
  </si>
  <si>
    <t>M3 x 6, self colour, hex socket</t>
  </si>
  <si>
    <t>Y left/right, carriage, tool head, electronics</t>
  </si>
  <si>
    <t>7.03</t>
  </si>
  <si>
    <t>M3 x 8, self colour, hex socket</t>
  </si>
  <si>
    <t>Y right</t>
  </si>
  <si>
    <t>7.05</t>
  </si>
  <si>
    <t>M3 x 16, self colour, hex socket</t>
  </si>
  <si>
    <t>7.07</t>
  </si>
  <si>
    <t>M3 x 30, self colour, hex socket</t>
  </si>
  <si>
    <t>X/Y motor mount</t>
  </si>
  <si>
    <t>7.08</t>
  </si>
  <si>
    <t>Button head screw</t>
  </si>
  <si>
    <t>Tool head, electronics</t>
  </si>
  <si>
    <t>7.09</t>
  </si>
  <si>
    <t>Controller board, only with the Z-axis add-on</t>
  </si>
  <si>
    <t>7.10</t>
  </si>
  <si>
    <t>M3 x 16 (approx.), self colour, hex socket; feet are bought without a bolt</t>
  </si>
  <si>
    <t>Frame – feet</t>
  </si>
  <si>
    <t>7.12</t>
  </si>
  <si>
    <t>Frame – rails</t>
  </si>
  <si>
    <t>7.13</t>
  </si>
  <si>
    <t>Nyloc nut</t>
  </si>
  <si>
    <t>M3, A2-304 stainless steel, DIN 985 type T</t>
  </si>
  <si>
    <t>Z tool head (new)</t>
  </si>
  <si>
    <t>7.14</t>
  </si>
  <si>
    <t>T-slot nut with spring ball, M3 (IR Slot 5 slide block)</t>
  </si>
  <si>
    <t>KJN43719, M3, 5 mm slot, 8 x 4.2 mm, zinc-plated steel, stainless spring ball</t>
  </si>
  <si>
    <t>Frame – rails and feet</t>
  </si>
  <si>
    <t>7.15</t>
  </si>
  <si>
    <t>M3 x 3 mm brass</t>
  </si>
  <si>
    <t>Belt clamp, rear of the tool head</t>
  </si>
  <si>
    <t>The Pi Hut</t>
  </si>
  <si>
    <t>8  FASTENERS – M5</t>
  </si>
  <si>
    <t>8.01</t>
  </si>
  <si>
    <t>M5 x 8, self colour, hex socket</t>
  </si>
  <si>
    <t>Motors, idlers, Y left/right (18); metal bed (8)</t>
  </si>
  <si>
    <t>8.02</t>
  </si>
  <si>
    <t>M5 x 20, self colour, hex socket</t>
  </si>
  <si>
    <t>Y left/right – X rail mounting</t>
  </si>
  <si>
    <t>8.04</t>
  </si>
  <si>
    <t>M5 x 12, self colour, hex socket</t>
  </si>
  <si>
    <t>Frame – corner cubes (all 22)</t>
  </si>
  <si>
    <t>8.05</t>
  </si>
  <si>
    <t>Frame 90-degree corners (4), electronics enclosure (2)</t>
  </si>
  <si>
    <t>8.07</t>
  </si>
  <si>
    <t>T-slot nut with spring ball, M5 (IR Slot 5 slide block)</t>
  </si>
  <si>
    <t>KJN37001, M5, 5 mm slot, 8 x 4.2 mm, zinc-plated steel, stainless spring ball</t>
  </si>
  <si>
    <t>Motors, idlers, Y left/right, frame rails</t>
  </si>
  <si>
    <t>8.08</t>
  </si>
  <si>
    <t>Allfix fixings – total for one machine</t>
  </si>
  <si>
    <t>All the Allfix screws and nuts above, at exact per-machine quantities</t>
  </si>
  <si>
    <t>Whole machine</t>
  </si>
  <si>
    <t>9  Z-STEPPER PEN-LIFT HEAD</t>
  </si>
  <si>
    <t>9.01</t>
  </si>
  <si>
    <t>NEMA 14 stepper motor, 14HS17-0504S</t>
  </si>
  <si>
    <t>35 x 35 x 42 mm, 1.8 deg, 0.5 A, 23 N·cm; 5 mm D-cut shaft (24 mm); 300 mm lead, 4 wires</t>
  </si>
  <si>
    <t>Pen lift</t>
  </si>
  <si>
    <t>9.02</t>
  </si>
  <si>
    <t>GT2 timing belt, 6 mm (pen lift)</t>
  </si>
  <si>
    <t>6 mm wide, about 40 mm, cut from the same reel as the X/Y belts (row 3.01); qty in metres</t>
  </si>
  <si>
    <t>AliExpress (same reel as 3.01)</t>
  </si>
  <si>
    <t>9.03</t>
  </si>
  <si>
    <t>Z motor lead (through the energy chain)</t>
  </si>
  <si>
    <t>4 x single-core Alpha Wire 3049 BK001, 26 AWG tinned copper PVC, black; 2100 mm each</t>
  </si>
  <si>
    <t>Z motor</t>
  </si>
  <si>
    <t>Made from the hook-up wire above</t>
  </si>
  <si>
    <t>9.04</t>
  </si>
  <si>
    <t>Extension spring</t>
  </si>
  <si>
    <t>5.2 mm diameter x 20.6 mm long, 0.3 mm wire; sold as 10</t>
  </si>
  <si>
    <t>Stepper tool head (front of the plate, bottom left corner)</t>
  </si>
  <si>
    <t>eBay UK (10 pcs)</t>
  </si>
  <si>
    <t>9.06</t>
  </si>
  <si>
    <t>Thumb screw, M3 x 12</t>
  </si>
  <si>
    <t>Steel thumb screw (knurled head); sold as 10</t>
  </si>
  <si>
    <t>Pen setter gauge</t>
  </si>
  <si>
    <t>10  PRINTED PARTS (STL – print in-house)</t>
  </si>
  <si>
    <t>10.01</t>
  </si>
  <si>
    <t>X idler top (XIT)</t>
  </si>
  <si>
    <t>X_Idler_Top.stl</t>
  </si>
  <si>
    <t>X idler</t>
  </si>
  <si>
    <t>Print in-house</t>
  </si>
  <si>
    <t>Link</t>
  </si>
  <si>
    <t>10.02</t>
  </si>
  <si>
    <t>X idler bottom (XIB)</t>
  </si>
  <si>
    <t>X_Idler_Bottom.stl</t>
  </si>
  <si>
    <t>10.03</t>
  </si>
  <si>
    <t>Y idler top (YIT)</t>
  </si>
  <si>
    <t>Y_Idler_Top.stl</t>
  </si>
  <si>
    <t>Y idler</t>
  </si>
  <si>
    <t>10.04</t>
  </si>
  <si>
    <t>Y idler bottom (YIB)</t>
  </si>
  <si>
    <t>Y_Idler_Bottom.stl</t>
  </si>
  <si>
    <t>10.05</t>
  </si>
  <si>
    <t>X motor top (XMT)</t>
  </si>
  <si>
    <t>X_Motor_Top.stl</t>
  </si>
  <si>
    <t>10.06</t>
  </si>
  <si>
    <t>X motor bottom (XMB)</t>
  </si>
  <si>
    <t>X_Motor_Bottom.stl</t>
  </si>
  <si>
    <t>10.07</t>
  </si>
  <si>
    <t>Y motor top (YMT)</t>
  </si>
  <si>
    <t>Y_Motor_Top.stl</t>
  </si>
  <si>
    <t>10.08</t>
  </si>
  <si>
    <t>Y motor bottom (YMB)</t>
  </si>
  <si>
    <t>Y_Motor_Bottom.stl</t>
  </si>
  <si>
    <t>10.09</t>
  </si>
  <si>
    <t>X axis bracket top, left (XYT)</t>
  </si>
  <si>
    <t>Xy_Carriage_Top.stl</t>
  </si>
  <si>
    <t>Y left</t>
  </si>
  <si>
    <t>10.10</t>
  </si>
  <si>
    <t>X axis bracket bottom, left (XYB)</t>
  </si>
  <si>
    <t>Xy_Carriage_Bottom.stl</t>
  </si>
  <si>
    <t>10.11</t>
  </si>
  <si>
    <t>X axis bracket top, right (YXT)</t>
  </si>
  <si>
    <t>Xx_Carriage_Top.stl</t>
  </si>
  <si>
    <t>10.12</t>
  </si>
  <si>
    <t>X axis bracket bottom, right (YXB)</t>
  </si>
  <si>
    <t>Xx_Carraiage_Bottom.stl</t>
  </si>
  <si>
    <t>10.14</t>
  </si>
  <si>
    <t>Carriage (RUM)</t>
  </si>
  <si>
    <t>Tool_Carriage.stl</t>
  </si>
  <si>
    <t>Carriage</t>
  </si>
  <si>
    <t>10.15</t>
  </si>
  <si>
    <t>Belt clamp front (BCF)</t>
  </si>
  <si>
    <t>Belt_Clamp_Plate.stl</t>
  </si>
  <si>
    <t>10.16</t>
  </si>
  <si>
    <t>Belt clamp back (BCB)</t>
  </si>
  <si>
    <t>Belt_Clamp_Teeth.stl</t>
  </si>
  <si>
    <t>10.17</t>
  </si>
  <si>
    <t>Tensioner housing (T)</t>
  </si>
  <si>
    <t>Tensioner_Housing.stl</t>
  </si>
  <si>
    <t>10.18</t>
  </si>
  <si>
    <t>Tensioner bit</t>
  </si>
  <si>
    <t>2xTensioner_bit.stl</t>
  </si>
  <si>
    <t>10.20</t>
  </si>
  <si>
    <t>Minimal pen holder (MPH)</t>
  </si>
  <si>
    <t>Pen_Holder_Front.stl</t>
  </si>
  <si>
    <t>10.21</t>
  </si>
  <si>
    <t>Pen clip block</t>
  </si>
  <si>
    <t>Pen_Clip_Block.stl</t>
  </si>
  <si>
    <t>10.22</t>
  </si>
  <si>
    <t>Pen clip latch</t>
  </si>
  <si>
    <t>Pen_Clip_Latch.stl</t>
  </si>
  <si>
    <t>10.23</t>
  </si>
  <si>
    <t>Pen clip link</t>
  </si>
  <si>
    <t>Pen_Clip_Link.stl</t>
  </si>
  <si>
    <t>10.24</t>
  </si>
  <si>
    <t>Electronics enclosure (EE)</t>
  </si>
  <si>
    <t>Electronics Enclosure.stl</t>
  </si>
  <si>
    <t>Electronics</t>
  </si>
  <si>
    <t>10.25</t>
  </si>
  <si>
    <t>Electronics enclosure top plate (EETP)</t>
  </si>
  <si>
    <t>No STL found</t>
  </si>
  <si>
    <t>10.26</t>
  </si>
  <si>
    <t>Power enclosure box</t>
  </si>
  <si>
    <t>Power_Enclosure_Box.stl</t>
  </si>
  <si>
    <t>10.27</t>
  </si>
  <si>
    <t>Power enclosure back</t>
  </si>
  <si>
    <t>Power_Enclosure_Back.stl</t>
  </si>
  <si>
    <t>10.28</t>
  </si>
  <si>
    <t>X endstop top</t>
  </si>
  <si>
    <t>Xx_Endstop_Top .stl</t>
  </si>
  <si>
    <t>X endstop</t>
  </si>
  <si>
    <t>10.29</t>
  </si>
  <si>
    <t>X endstop bottom</t>
  </si>
  <si>
    <t>Xx_Endstop_Bottom.stl</t>
  </si>
  <si>
    <t>10.30</t>
  </si>
  <si>
    <t>Y endstop mount</t>
  </si>
  <si>
    <t>Y_Endstop_Mount.stl</t>
  </si>
  <si>
    <t>10.31</t>
  </si>
  <si>
    <t>TPU bumper</t>
  </si>
  <si>
    <t>8xTPU_Bumper.stl</t>
  </si>
  <si>
    <t>Frame / base</t>
  </si>
  <si>
    <t>10.32</t>
  </si>
  <si>
    <t>Cable cap for extrusion</t>
  </si>
  <si>
    <t>Cable Cap for Extrusion.stl</t>
  </si>
  <si>
    <t>10.33</t>
  </si>
  <si>
    <t>Clip mount</t>
  </si>
  <si>
    <t>skinnyClipMount.stl</t>
  </si>
  <si>
    <t>Unknown</t>
  </si>
  <si>
    <t>10.34</t>
  </si>
  <si>
    <t>Stepper tool carriage</t>
  </si>
  <si>
    <t>stepper_tool_carriage.stl</t>
  </si>
  <si>
    <t>Tool head (stepper)</t>
  </si>
  <si>
    <t>10.35</t>
  </si>
  <si>
    <t>Stepper pen mount</t>
  </si>
  <si>
    <t>stepper_pen_mount.stl</t>
  </si>
  <si>
    <t>10.36</t>
  </si>
  <si>
    <t>Stepper pen mount clamp</t>
  </si>
  <si>
    <t>stepper_pen_mount_clamp.stl</t>
  </si>
  <si>
    <t>10.37</t>
  </si>
  <si>
    <t>Stepper belt pulley</t>
  </si>
  <si>
    <t>stepper belt pulley.stl</t>
  </si>
  <si>
    <t>10.38</t>
  </si>
  <si>
    <t>NEMA 14 mount to carriage</t>
  </si>
  <si>
    <t>Nema14mount2carriage.stl</t>
  </si>
  <si>
    <t>10.39</t>
  </si>
  <si>
    <t>TPU pen bung – 10mm Tapered</t>
  </si>
  <si>
    <t>TPU Bungs/10mm Tapered Bung.stl</t>
  </si>
  <si>
    <t>Pen holder insert</t>
  </si>
  <si>
    <t>10.40</t>
  </si>
  <si>
    <t>TPU pen bung – 11mm Tapered</t>
  </si>
  <si>
    <t>TPU Bungs/11mm Tapered Bung.stl</t>
  </si>
  <si>
    <t>10.41</t>
  </si>
  <si>
    <t>TPU pen bung – 12mm Aperture</t>
  </si>
  <si>
    <t>TPU Bungs/12mm Aperture Bung.stl</t>
  </si>
  <si>
    <t>10.42</t>
  </si>
  <si>
    <t>TPU pen bung – 15mm Aperture</t>
  </si>
  <si>
    <t>TPU Bungs/15mm Aperture Bung.stl</t>
  </si>
  <si>
    <t>10.43</t>
  </si>
  <si>
    <t>TPU pen bung – 16_3mm Tapered</t>
  </si>
  <si>
    <t>TPU Bungs/16_3mm Tapered Bung.stl</t>
  </si>
  <si>
    <t>10.44</t>
  </si>
  <si>
    <t>TPU pen bung – 4mm Aperture</t>
  </si>
  <si>
    <t>TPU Bungs/4mm Aperture Bung.stl</t>
  </si>
  <si>
    <t>10.45</t>
  </si>
  <si>
    <t>TPU pen bung – 6mm Aperture</t>
  </si>
  <si>
    <t>TPU Bungs/6mm Aperture Bung.stl</t>
  </si>
  <si>
    <t>10.46</t>
  </si>
  <si>
    <t>TPU pen bung – 8mm Tapered</t>
  </si>
  <si>
    <t>TPU Bungs/8mm Tapered Bung.stl</t>
  </si>
  <si>
    <t>10.47</t>
  </si>
  <si>
    <t>TPU pen bung – 9mm Aperture</t>
  </si>
  <si>
    <t>TPU Bungs/9mm Aperture Bung.stl</t>
  </si>
  <si>
    <t>10.48</t>
  </si>
  <si>
    <t>TPU pen bung – 9mm Tapered</t>
  </si>
  <si>
    <t>TPU Bungs/9mm Tapered Bung.stl</t>
  </si>
  <si>
    <t>10.49</t>
  </si>
  <si>
    <t>TPU pen holder insert (parametric)</t>
  </si>
  <si>
    <t>Stepper_Z_Axis_Experimental/Pen Holder Insert.FCStd</t>
  </si>
  <si>
    <t>10.50</t>
  </si>
  <si>
    <t>D-Line 20 x 10 flat corner (trunking)</t>
  </si>
  <si>
    <t>D_Line_20x10_Flat_corner.stl</t>
  </si>
  <si>
    <t>Underside cable trunking</t>
  </si>
  <si>
    <t>10.51</t>
  </si>
  <si>
    <t>Chain support (energy chain anti-sag clip)</t>
  </si>
  <si>
    <t>CHAIN_SUPPORT.stl</t>
  </si>
  <si>
    <t>Gantry underside (energy chain); also terapixel light clips (work in progress)</t>
  </si>
  <si>
    <t>10.52</t>
  </si>
  <si>
    <t>Printed parts – total cost for one machine</t>
  </si>
  <si>
    <t>All the printed parts above, as one figure (filament and printing)</t>
  </si>
  <si>
    <t>11  TOOLING (one-off purchases, not in the per-machine total)</t>
  </si>
  <si>
    <t>11.01</t>
  </si>
  <si>
    <t>Heat-set insert tip for a soldering iron</t>
  </si>
  <si>
    <t>Virtjoule, #4-40 / M3 inserts, Hakko-type tip (Pi Hut ADA4239)</t>
  </si>
  <si>
    <t>Printed parts: fitting the M3 heat-set inserts</t>
  </si>
  <si>
    <t>11.02</t>
  </si>
  <si>
    <t>Soldering iron that takes Hakko-type tips</t>
  </si>
  <si>
    <t>To fit the insert tip above; also useful for the JST work</t>
  </si>
  <si>
    <t>Fitting inserts, wiring</t>
  </si>
  <si>
    <t>Any supplier</t>
  </si>
  <si>
    <t>11.03</t>
  </si>
  <si>
    <t>M3 and M5 taps</t>
  </si>
  <si>
    <t>The M5 tap is only needed if your extrusion supplier does not tap the ends. M3 is needed for printed parts</t>
  </si>
  <si>
    <t>Frame extrusion ends</t>
  </si>
  <si>
    <t>RS</t>
  </si>
  <si>
    <t>11.04</t>
  </si>
  <si>
    <t>Crimping tool for JST PH and JST SM connectors</t>
  </si>
  <si>
    <t>IWISS SN-2549 ratcheting crimper, 0.08-1.0 mm², for JST PH / SM and Dupont-type terminals</t>
  </si>
  <si>
    <t>Cable leads</t>
  </si>
  <si>
    <t>Fixings by part – walk-through of the build, bottom frame upwards (work in progress)</t>
  </si>
  <si>
    <t>Dictated by Ed on 24 Oct 2026. Totals are reconciled against the BOM sheet afterwards.</t>
  </si>
  <si>
    <t>Assembly / part</t>
  </si>
  <si>
    <t>Fastener</t>
  </si>
  <si>
    <t>Nut / insert</t>
  </si>
  <si>
    <t>Supplied with part?</t>
  </si>
  <si>
    <t>BOM row</t>
  </si>
  <si>
    <t>Notes</t>
  </si>
  <si>
    <t>Screw key</t>
  </si>
  <si>
    <t>Nut key</t>
  </si>
  <si>
    <t>Bottom frame – rubber feet</t>
  </si>
  <si>
    <t>Button head screw, approx. M3 x 16 (length to confirm)</t>
  </si>
  <si>
    <t>M3 spring-ball T-slot nut (KJN43719)</t>
  </si>
  <si>
    <t>Yes, screws came with the feet</t>
  </si>
  <si>
    <t>1.07, 7.10, 7.14</t>
  </si>
  <si>
    <t>Per Ed. The BOM currently lists 4 x M3 x 12 button head for 'Frame – feet' (7.10): check whether that should be dropped or changed to 16 mm. The 4 nuts are part of the 16 M3 nuts.</t>
  </si>
  <si>
    <t>M3 x 16 button head (approx.)</t>
  </si>
  <si>
    <t>M3 T-nut</t>
  </si>
  <si>
    <t>Bottom frame – 4 extrusions + 4 corner cubes (square)</t>
  </si>
  <si>
    <t>Socket head (cap) screw M5 x 12</t>
  </si>
  <si>
    <t>None (bolts go into the tapped extrusion ends)</t>
  </si>
  <si>
    <t>No</t>
  </si>
  <si>
    <t>1.01, 1.02, 1.05, 8.03</t>
  </si>
  <si>
    <t>Per Ed: M5 x 12 is enough (16 was considered). 2 bolts per cube x 4 cubes = 8. The third hole of each cube is still to be covered (uprights?). BOM row 8.03 has 22 in total for the whole frame.</t>
  </si>
  <si>
    <t>M5 x 12 cap head</t>
  </si>
  <si>
    <t>Bottom frame – bed support extrusion (horizontal cross-member, keeps the frame square), 2 x L brackets</t>
  </si>
  <si>
    <t>Button head screw M5 x 8</t>
  </si>
  <si>
    <t>M5 spring-ball T-slot nut (KJN37001)</t>
  </si>
  <si>
    <t>1.06, 8.05, 8.07</t>
  </si>
  <si>
    <t>Per Ed. 2 screws + 2 nuts per bracket. Matches the 4 M5 x 8 button head 'frame 90-degree corners' in the BOM (8.04). The cross-member is one of the four 760 mm extrusions (confirmed by Ed). Wire slot: cut about 30 mm wide and about 7 mm deep into the extrusion so wires can be fed through; if you have no saw, drill holes through the centre instead. A plastic clip (a printed part from the mechanical design files, 'Cable Cap for Extrusion', row 10.32: confirmed by Ed) is fitted about 40 mm from one end. PHOTO NEEDED of the slot and the clip, for the docs.</t>
  </si>
  <si>
    <t>M5 x 8 button head</t>
  </si>
  <si>
    <t>M5 T-nut</t>
  </si>
  <si>
    <t>Bottom frame – centre (760 mm) extrusion: electronics mount</t>
  </si>
  <si>
    <t>8.05, 8.07</t>
  </si>
  <si>
    <t>Per Ed. Together with the 4 for the L brackets this makes 6, which matches the BOM's 6 x M5 x 8 button head (4 corners + 2 electronics enclosure).</t>
  </si>
  <si>
    <t>Electronics enclosure – standoffs</t>
  </si>
  <si>
    <t>Nylon standoff, M3, male-female, about 18 mm</t>
  </si>
  <si>
    <t>No (Ed to check whether he has any)</t>
  </si>
  <si>
    <t>Per Ed: the threaded end goes through the controller board and into the housing; the cover screw goes into the other end. BOM and CAD had 20 mm: confirm the length. Ed to check whether he has any.</t>
  </si>
  <si>
    <t>M3 standoff, male-female (about 18 mm)</t>
  </si>
  <si>
    <t>Electronics enclosure – cover</t>
  </si>
  <si>
    <t>Countersunk screw M3 x 6, into the standoffs</t>
  </si>
  <si>
    <t>Per Ed.</t>
  </si>
  <si>
    <t>M3 x 6 countersunk</t>
  </si>
  <si>
    <t>Electronics enclosure – cover (third hole)</t>
  </si>
  <si>
    <t>Countersunk screw M3 x 6, into a heat-set insert in the housing</t>
  </si>
  <si>
    <t>7.02 or 7.03, 7.15</t>
  </si>
  <si>
    <t>Per Ed: M3 x 6 is fine (not 8). The cover has 3 holes: 2 into the standoffs and 1 into the electronics housing. The housing holes use heat-set inserts.</t>
  </si>
  <si>
    <t>Emerald Dingo controller board</t>
  </si>
  <si>
    <t>Button head screw M3 x 6</t>
  </si>
  <si>
    <t>Per Ed: the board has 4 mounting holes. 2 are held by the standoffs (threaded through the board into the housing); the other 2 take these M3 x 6 button head screws into heat-set inserts in the housing. The housing holes in the plastic all use heat-set inserts (count to add to the M3 inserts: 3 for the screws, probably 2 more for the standoff studs).</t>
  </si>
  <si>
    <t>M3 x 6 button head</t>
  </si>
  <si>
    <t>Frame – four 50 mm legs on the bottom corner cubes</t>
  </si>
  <si>
    <t>None (bolts go into the tapped leg ends)</t>
  </si>
  <si>
    <t>1.04, 1.05, 8.03</t>
  </si>
  <si>
    <t>Per Ed (length 12 'I think', same as the other cube bolts). 1 per leg, through the cube's third hole. Running tally of cube bolts: bottom square 8 + legs 4 = 12; the other 10 of the BOM's 22 would be the top (4 at the legs, 6 for the top rails, as the front top has no rail). To confirm when we reach the top frame.</t>
  </si>
  <si>
    <t>Metal baseboard (new bed) – on top faces of the extrusions</t>
  </si>
  <si>
    <t>Countersunk screw M5 x 8</t>
  </si>
  <si>
    <t>1.09, 8.01, 8.07</t>
  </si>
  <si>
    <t>Per Ed: 8 mounting points = 3 on the front rail, 3 on the back rail, 2 on the left-hand side rail (top faces of the extrusions). Countersink the bed holes before the vinyl is applied. Check whether the BOM's 18 x M5 x 8 countersunk (8.01: motors, idlers, Y left/right) already includes these 8, or whether the metal bed adds 8 more.</t>
  </si>
  <si>
    <t>M5 x 8 countersunk</t>
  </si>
  <si>
    <t>Y endstop mount (Y_Endstop_Mount.stl) on the front-left 50 mm leg (facing the back)</t>
  </si>
  <si>
    <t>8.01, 8.07</t>
  </si>
  <si>
    <t>Per Ed (confirmed): this is the Y endstop. The nut slides into the leg, facing the back, and the mount is fixed to it with one M5 x 8 countersunk screw.</t>
  </si>
  <si>
    <t>Y optical endstop on its mount (Y_Endstop_Mount.stl)</t>
  </si>
  <si>
    <t>Per Ed: 6 mm (6 or 8 would do). The 2 M3 screws go into the endstop mount and screw directly into threaded plastic (confirmed), so no inserts.</t>
  </si>
  <si>
    <t>Power switch mount on the rear-right 50 mm leg (plastic parts to be added later)</t>
  </si>
  <si>
    <t>Per Ed (confirmed countersunk): one bolt + nut on the inside face of the leg facing the front of the machine, and one on the inside face facing the inside of the machine (the X direction). 2 bolts, 2 nuts.</t>
  </si>
  <si>
    <t>Energy chain mount on the right-hand 560 mm extrusion, upright (top) face, towards the back near the leg</t>
  </si>
  <si>
    <t>Countersunk screw M3 x 8</t>
  </si>
  <si>
    <t>7.03, 7.14</t>
  </si>
  <si>
    <t>Per Ed. The BOM has 2 x M3 x 8 countersunk for 'Y right': check whether the second belongs to the same bracket (the energy chain bracket, ECB, has no STL yet). Ed on 24 Oct: the M3 x 8 connects the energy chain to an M3 sliding nut on the extrusion along the base, Y side, bottom back near the power. Confirmed by Ed: the same single screw, not a second one.</t>
  </si>
  <si>
    <t>M3 x 8 countersunk</t>
  </si>
  <si>
    <t>X motor assembly (NEMA 17, toothed pulley, one toothed and one smooth idler), mounted on top of the leg section</t>
  </si>
  <si>
    <t>Countersunk screw M3 x 16</t>
  </si>
  <si>
    <t>Per Ed (corrected from 8 to 16). This is the use of the M3 x 16 countersunk row added from your Allfix link.</t>
  </si>
  <si>
    <t>M3 x 16 countersunk</t>
  </si>
  <si>
    <t>Countersunk screw M3 x 30</t>
  </si>
  <si>
    <t>Per Ed (confirmed): the motor mount's M3 x 30 screws go through the plastic straight into the threaded holes in the motor. No nuts or inserts.</t>
  </si>
  <si>
    <t>M3 x 30 countersunk</t>
  </si>
  <si>
    <t>X motor assembly (NEMA 17, toothed pulley, one toothed and one smooth idler), mounted on top of the leg section – corner cube</t>
  </si>
  <si>
    <t>Button head screw M5 x 12</t>
  </si>
  <si>
    <t>8.04 (new M5 x 12 button head row), 8.04</t>
  </si>
  <si>
    <t>Per Ed: 2 x M5 x 12 button head hold the corner cube. This is the use of the M5 x 12 button head row added from your Allfix link. The pulley's grub screws come with the pulley. Grub screws (about M3 x 4) come with the pulleys: confirmed by Ed.</t>
  </si>
  <si>
    <t>M5 x 12 button head</t>
  </si>
  <si>
    <t>Y motor assembly (same layout as the X motor)</t>
  </si>
  <si>
    <t>Per Ed (confirmed): screws go through the plastic into the threaded holes in the motor. No nuts or inserts.</t>
  </si>
  <si>
    <t>Confirmed by Ed: the Y motor matches the X motor (3 x M5 x 8 with 3 nuts).</t>
  </si>
  <si>
    <t>Y motor assembly (same layout as the X motor) – corner cube</t>
  </si>
  <si>
    <t>Confirmed by Ed: as the X motor.</t>
  </si>
  <si>
    <t>X idler assembly (back corner; mirrored, same screws as the other side; corner cube + toothed idlers) – corner cube</t>
  </si>
  <si>
    <t>Confirmed by Ed, per side: the 3 M5 x 12 button head screws hold the corner cube and mount the plastic brackets to the extrusions.</t>
  </si>
  <si>
    <t>X idler assembly (back corner; mirrored, same screws as the other side; corner cube + toothed idlers)</t>
  </si>
  <si>
    <t>Confirmed by Ed, per side: 4 screws with 4 nuts.</t>
  </si>
  <si>
    <t>X idler assembly (back corner; mirrored, same screws as the other side; corner cube + toothed idlers) – idler clamp, bolted from the underside</t>
  </si>
  <si>
    <t>Countersunk screw M5 x 20</t>
  </si>
  <si>
    <t>– (threaded plastic)</t>
  </si>
  <si>
    <t>Confirmed by Ed, per side: the 3 M5 x 12 button head screws hold the corner cube and mount the plastic brackets to the extrusions. Confirmed by Ed: 1 per side (not 2). Of the two idlers, one has its axle printed in place and the other uses this bolt as its axle. Total with the gantry's 4 = 6 M5 x 20 (Ed). Confirmed by Ed: it screws into a threaded plastic piece, so no nut.</t>
  </si>
  <si>
    <t>M5 x 20 countersunk</t>
  </si>
  <si>
    <t>Y idler assembly (back corner; mirrored, same screws as the other side; corner cube + toothed idlers) – corner cube</t>
  </si>
  <si>
    <t>Y idler assembly (back corner; mirrored, same screws as the other side; corner cube + toothed idlers)</t>
  </si>
  <si>
    <t>Y idler assembly (back corner; mirrored, same screws as the other side; corner cube + toothed idlers) – idler clamp, bolted from the top side</t>
  </si>
  <si>
    <t>Y linear rail MGN9H (black) under the left-hand top extrusion</t>
  </si>
  <si>
    <t>Socket head (cap) screw M3 x 8</t>
  </si>
  <si>
    <t>7.12, 7.14</t>
  </si>
  <si>
    <t>Per Ed: only about 4 fixings per rail are needed, although the rail has more holes. 4 per side, 8 in total.</t>
  </si>
  <si>
    <t>M3 x 8 socket head</t>
  </si>
  <si>
    <t>Y linear rail MGN9H (black) under the right-hand top extrusion</t>
  </si>
  <si>
    <t>Gantry end, X side (Y homing arm side): MGN9H block, plate, idler block</t>
  </si>
  <si>
    <t>Countersunk screw M3 x 6</t>
  </si>
  <si>
    <t>Per Ed: into the MGN9H block, fixing the plate.</t>
  </si>
  <si>
    <t>Gantry end, X side (Y homing arm side): MGN9H block, plate, idler block – Y homing (endstop) arm bracket</t>
  </si>
  <si>
    <t>Confirmed by Ed: 2 on the X side (the Y homing arm); none on the Y side.</t>
  </si>
  <si>
    <t>Gantry end, X side (Y homing arm side): MGN9H block, plate, idler block – idler block to the 710 mm X rail</t>
  </si>
  <si>
    <t>8.02, 8.07</t>
  </si>
  <si>
    <t>Confirmed by Ed: 2 per side, separate from the idler axle/clamp bolt (1 per side). M5 x 20 total: 2 idler + 4 gantry = 6.</t>
  </si>
  <si>
    <t>Gantry end, X side (Y homing arm side): MGN9H block, plate, idler block – top plate</t>
  </si>
  <si>
    <t>Confirmed by Ed: countersunk. 2 per side into M5 sliding nuts on the top plate.</t>
  </si>
  <si>
    <t>Gantry end, X side (Y homing arm side): MGN9H block, plate, idler block – clamp top to bottom</t>
  </si>
  <si>
    <t>Confirmed by Ed: 1 per side. With the homing arm's 2, the X side has 3 of these screws and the Y side has 1. Idlers: a smooth one at the front and a toothed one (rounded D-shape) facing the back.</t>
  </si>
  <si>
    <t>Gantry end, Y side (no homing arm): MGN9H block, plate, idler block</t>
  </si>
  <si>
    <t>Per Ed: the Y side has 4 M3 x 6 countersunk on the block (no homing bracket).</t>
  </si>
  <si>
    <t>Gantry end, Y side (no homing arm): MGN9H block, plate, idler block – idler block to the X rail</t>
  </si>
  <si>
    <t>Gantry end, Y side (no homing arm): MGN9H block, plate, idler block – top plate</t>
  </si>
  <si>
    <t>Gantry end, Y side (no homing arm): MGN9H block, plate, idler block – clamp top to bottom</t>
  </si>
  <si>
    <t>Gantry end, Y side – energy chain, on the underside where it connects to the bearing block</t>
  </si>
  <si>
    <t>Countersunk screw M3 x 5</t>
  </si>
  <si>
    <t>Corrected by Ed: these are 2 x M3 x 5 countersunk (not M5). They separate from the 4 chain support screws. No M5 energy chain screws exist.</t>
  </si>
  <si>
    <t>M3 x 5 countersunk</t>
  </si>
  <si>
    <t>Gantry end, Y side (no homing arm): MGN9H block, plate, idler block – wiring</t>
  </si>
  <si>
    <t>Cable tie, black</t>
  </si>
  <si>
    <t>Per Ed: a single black cable tie holds and organises the wiring.</t>
  </si>
  <si>
    <t>Gantry (X rail): MGN9 linear rail</t>
  </si>
  <si>
    <t>Per Ed. Brings M3 x 8 socket head to 12 in total with the Y rails, matching the old BOM's 12.</t>
  </si>
  <si>
    <t>Gantry underside: energy chain anti-sag clips (also clips for the terapixel lights, work in progress)</t>
  </si>
  <si>
    <t>Per Ed (confirmed): 4 CHAIN_SUPPORT prints on the underside of the gantry, each held by an M5 x 8 countersunk screw with an M5 sliding nut.</t>
  </si>
  <si>
    <t>Belt clamp – heat-set insert (rear of the tool head)</t>
  </si>
  <si>
    <t>Heat-set insert M3 x 3 mm brass</t>
  </si>
  <si>
    <t>Ed, 24 Oct: no inserts in the electronics tray after all; the only M3 insert is in the belt clamp, on the rear of the tool head.</t>
  </si>
  <si>
    <t>M3 heat-set insert</t>
  </si>
  <si>
    <t>Stepper tool head – carriage (stepper_tool_carriage.stl) onto the MGN9H block on the gantry</t>
  </si>
  <si>
    <t>Stepper tool head – X optical endstop on the carriage</t>
  </si>
  <si>
    <t>Per Ed: M3 x 6 button head. Quantity of 2 assumed (same as the Y endstop): confirm.</t>
  </si>
  <si>
    <t>Stepper tool head – energy chain attached to the top of the carriage</t>
  </si>
  <si>
    <t>Stepper tool head – belt clamp (clamps the belt between two pieces)</t>
  </si>
  <si>
    <t>Per Ed: 'an M3 countersunk by 5'. Taken as 1 screw: confirm.</t>
  </si>
  <si>
    <t>Stepper tool head – belt clamp fixed to the back of the head</t>
  </si>
  <si>
    <t>Stepper tool head – tensioner</t>
  </si>
  <si>
    <t>Stepper tool head – NEMA 14 motor to the carriage plate (Nema14mount2carriage.stl)</t>
  </si>
  <si>
    <t>Per Ed. What they thread into (the motor's tapped holes, presumably) is not noted.</t>
  </si>
  <si>
    <t>Stepper tool head – extension spring holder, front of the plate, bottom left corner</t>
  </si>
  <si>
    <t>None: into the plastic itself, or a heat-set insert if you use one</t>
  </si>
  <si>
    <t>7.12, 7.15, 9.04</t>
  </si>
  <si>
    <t>Per Ed: holds the 5.2 x 20.6 mm extension spring. Whether Ed uses an insert here is not stated: 'plastic itself, or an insert if you're using one'.</t>
  </si>
  <si>
    <t>Stepper tool head – 50 mm MGN7H rail and block on the plate</t>
  </si>
  <si>
    <t>Socket head (cap) screw M2 x 8</t>
  </si>
  <si>
    <t>M2 heat-set insert in the plate</t>
  </si>
  <si>
    <t>6.02, 6.04</t>
  </si>
  <si>
    <t>Per Ed: 3 inserts on the plate itself, 3 screws.</t>
  </si>
  <si>
    <t>M2 x 8 socket head</t>
  </si>
  <si>
    <t>M2 heat-set insert</t>
  </si>
  <si>
    <t>Stepper tool head – plate with MGN7H rail, mounted onto the tool head</t>
  </si>
  <si>
    <t>Per Ed. Separate from the 4 M3 x 8 that fix the NEMA 14 to the carriage plate.</t>
  </si>
  <si>
    <t>Stepper tool head – pen holder onto the MGN7H block</t>
  </si>
  <si>
    <t>Per Ed. Together with the 3 that fix the rail to the plate, M2 x 8 socket head comes to 7.</t>
  </si>
  <si>
    <t>Stepper tool head – spring, other end: rear of the pen holder, in a slot</t>
  </si>
  <si>
    <t>M3 nyloc nut (A2 stainless, DIN 985), on the reverse side</t>
  </si>
  <si>
    <t>7.12, 7.13</t>
  </si>
  <si>
    <t>Per Ed: the screw sits in a slot with about 10 mm of travel, so the spring tension can be adjusted. Ed recommends mounting it at the bottom of the slot to begin with. The spring pulls the pen down towards the paper or bed.</t>
  </si>
  <si>
    <t>M3 nyloc nut</t>
  </si>
  <si>
    <t>Stepper tool head – belt clamp on the pen holder (clamp bracket)</t>
  </si>
  <si>
    <t>Per Ed. Clamps about 30 mm of GT2 belt. 'An M3 countersunk by 5': taken as 1 screw: confirm.</t>
  </si>
  <si>
    <t>Stepper tool head – belt pulley print (stepper belt pulley.stl) on the NEMA 14 shaft</t>
  </si>
  <si>
    <t>None mentioned</t>
  </si>
  <si>
    <t>Per Ed: the belt end goes into the print, which slots onto the D-shaft. No screw was mentioned: confirm there is none.</t>
  </si>
  <si>
    <t>Stepper tool head – pen clip assembly (pen clip block, latch and link)</t>
  </si>
  <si>
    <t>None: into the plastic</t>
  </si>
  <si>
    <t>Per Ed: 3 screws hold the clip assembly together. They go into pre-threaded plastic, or you screw them in to cut the thread. No nuts or inserts.</t>
  </si>
  <si>
    <t>Electronics enclosure – with the Z-axis add-on (stacked Z board)</t>
  </si>
  <si>
    <t>Button head screw M3 x 8 (replaces one of the board's M3 x 6)</t>
  </si>
  <si>
    <t>Per Ed: the Z board is thick and stacks on the controller, so one of the 2 board button head screws is M3 x 8 instead of M3 x 6. Z add-on builds only.</t>
  </si>
  <si>
    <t>M3 x 8 button head (Z add-on only)</t>
  </si>
  <si>
    <t>Standoff M3 x 16 mm, male-female</t>
  </si>
  <si>
    <t>Per Ed: a 16 mm standoff is needed in addition to the 18 mm ones, because the Z board is thick. Ed: just 1.</t>
  </si>
  <si>
    <t>Fixings totals – from the walk-through (the 'real' figures, work in progress)</t>
  </si>
  <si>
    <t>Counted from 'Fixings by part' as the build is walked through bottom frame upwards. The old BOM fixing quantities are shown only for comparison and are replaced once the walk-through is finished.</t>
  </si>
  <si>
    <t>Fixing</t>
  </si>
  <si>
    <t>Walk-through total so far</t>
  </si>
  <si>
    <t>Old BOM qty (for comparison)</t>
  </si>
  <si>
    <t>Old BOM: M3 x 12 button head for the feet (7.10). Feet come with their screws.</t>
  </si>
  <si>
    <t>Electronics cover (3) so far, plus the gantry blocks.</t>
  </si>
  <si>
    <t>Controller board.</t>
  </si>
  <si>
    <t>Old BOM: nylon standoff M3 x 20.</t>
  </si>
  <si>
    <t>Feet so far. You think about 13 in total.</t>
  </si>
  <si>
    <t>Bottom square 8 + legs 4 so far; top frame still to do.</t>
  </si>
  <si>
    <t>L brackets 4 + electronics mount 2.</t>
  </si>
  <si>
    <t>Includes the 4 chain support screws.</t>
  </si>
  <si>
    <t>Placeholder 50 in the BOM.</t>
  </si>
  <si>
    <t>Energy chain mount so far.</t>
  </si>
  <si>
    <t>X motor so far (2 of 4).</t>
  </si>
  <si>
    <t>Corner cube at the X motor so far.</t>
  </si>
  <si>
    <t>X motor so far.</t>
  </si>
  <si>
    <t>Idler bolts 2 + gantry 4 = 6 (Ed); the old BOM had 4.</t>
  </si>
  <si>
    <t>Y rails so far (8); the old 12 'frame – rails' probably includes 4 for the X rail.</t>
  </si>
  <si>
    <t>Y-side wiring only so far.</t>
  </si>
  <si>
    <t>Electronics tray so far (5). The old BOM had 26 for all printed parts, a pack of 50 at £5.90.</t>
  </si>
  <si>
    <t>Y gantry underside (energy chain) so far.</t>
  </si>
  <si>
    <t>MGN7H rail 3 + pen holder 4 so far.</t>
  </si>
  <si>
    <t>Plate inserts so far.</t>
  </si>
  <si>
    <t>Z tool head: spring so far (1).</t>
  </si>
  <si>
    <t>Z add-on builds only.</t>
  </si>
  <si>
    <t>Cut and strip details for each lead. Also the source for the build documentation.</t>
  </si>
  <si>
    <t>Lead</t>
  </si>
  <si>
    <t>Cores</t>
  </si>
  <si>
    <t>AWG</t>
  </si>
  <si>
    <t>Sheath</t>
  </si>
  <si>
    <t>Length (mm)</t>
  </si>
  <si>
    <t>Strip at motor end (mm)</t>
  </si>
  <si>
    <t>Strip at controller end (mm)</t>
  </si>
  <si>
    <t>Connectors</t>
  </si>
  <si>
    <t>PVC, flexible, unshielded</t>
  </si>
  <si>
    <t>27-30</t>
  </si>
  <si>
    <t>17-20</t>
  </si>
  <si>
    <t>Controller end: JST PH 2.0 4-way. Motor end: JST PH 2.0 6-way, cores in positions 1, 3, 4 and 6 (2 and 5 empty).</t>
  </si>
  <si>
    <t>Shielded cable is tricky for this lead because it needs to flex. Core colours on your cable: yellow, blue, green, red (varies by supplier). Colour-to-pin mapping still to document.</t>
  </si>
  <si>
    <t>Same as the Y lead except for length. Core colours on your cable: yellow, blue, green, red (varies by supplier). Colour-to-pin mapping still to document.</t>
  </si>
  <si>
    <t>3 x single core</t>
  </si>
  <si>
    <t>None: 3 loose single cores (Alpha Wire 3049 BK001), colour-taped at both ends</t>
  </si>
  <si>
    <t>to confirm</t>
  </si>
  <si>
    <t>Female JST SM on the wire (pitch to confirm; JST SM is normally 2.5 mm) plugs into the male on the endstop module. Controller end: JST PH 2.0 3-way (assumed).</t>
  </si>
  <si>
    <t>POLARITY: match the lead's wire order to the board header and the module pins (module is SIG / GND / VCC). Runs through the 7 x 7 energy chain, hence single cores. Same length as the Z lead. Pin order on both ends still to document.</t>
  </si>
  <si>
    <t>26 (confirm)</t>
  </si>
  <si>
    <t>PVC</t>
  </si>
  <si>
    <t>POLARITY: match the lead's wire order to the board header and the module pins (module is SIG / GND / VCC). Same length as the X motor lead (920 mm), where it is housed next to the motor. Sheathed 3-core assumed since it doesn't go through the energy chain; confirm.</t>
  </si>
  <si>
    <t>4 x single core</t>
  </si>
  <si>
    <t>None: 4 loose single cores (Alpha Wire 3049 BK001, black PVC, tinned copper), colour-taped at both ends</t>
  </si>
  <si>
    <t>Motor end: female JST SM, mating with a male JST SM fitted to the NEMA 14's lead (cut to 30-40 mm from the motor). Controller end: white JST PH 2.0 4-way, pins 1 to 4 all used.</t>
  </si>
  <si>
    <t>Runs through the 7 x 7 energy chain, hence single cores. Tape a thin strip of a different colour on both ends of each wire (e.g. red on both ends of one, green on both ends of another). 2100 mm leaves a little slack.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</si>
</sst>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1F2937"/>
      <name val="Arial"/>
    </font>
    <font>
      <i/>
      <sz val="9"/>
      <color rgb="FF4B5563"/>
      <name val="Arial"/>
    </font>
    <font>
      <b/>
      <sz val="9"/>
      <color rgb="FF111827"/>
      <name val="Arial"/>
    </font>
    <font>
      <sz val="9"/>
      <color rgb="FF111827"/>
      <name val="Arial"/>
    </font>
    <font>
      <b/>
      <sz val="10"/>
      <color rgb="FFFFFFFF"/>
      <name val="Arial"/>
    </font>
    <font>
      <b/>
      <sz val="10"/>
      <color rgb="FF1F2937"/>
      <name val="Arial"/>
    </font>
    <font>
      <u/>
      <sz val="10"/>
      <color rgb="FF0B5FFF"/>
      <name val="Arial"/>
    </font>
    <font>
      <sz val="10"/>
      <color rgb="FF111827"/>
      <name val="Arial"/>
    </font>
    <font>
      <b/>
      <sz val="10"/>
      <color rgb="FF111827"/>
      <name val="Arial"/>
    </font>
    <font>
      <sz val="9"/>
      <name val="Arial"/>
    </font>
    <font>
      <sz val="10"/>
      <name val="Arial"/>
    </font>
    <font>
      <sz val="9"/>
      <color rgb="FF4B5563"/>
      <name val="Arial"/>
    </font>
    <font>
      <b/>
      <sz val="13"/>
      <name val="Calibri"/>
    </font>
  </fonts>
  <fills count="8">
    <fill>
      <patternFill patternType="none"/>
    </fill>
    <fill>
      <patternFill patternType="gray125"/>
    </fill>
    <fill>
      <patternFill patternType="solid">
        <fgColor rgb="FFE7F5EC"/>
      </patternFill>
    </fill>
    <fill>
      <patternFill patternType="solid">
        <fgColor rgb="FFFFF4D6"/>
      </patternFill>
    </fill>
    <fill>
      <patternFill patternType="solid">
        <fgColor rgb="FFFDE2E2"/>
      </patternFill>
    </fill>
    <fill>
      <patternFill patternType="solid">
        <fgColor rgb="FFFFE8CC"/>
      </patternFill>
    </fill>
    <fill>
      <patternFill patternType="solid">
        <fgColor rgb="FF1F2937"/>
      </patternFill>
    </fill>
    <fill>
      <patternFill patternType="solid">
        <fgColor rgb="FFD1D5DB"/>
      </patternFill>
    </fill>
  </fills>
  <borders count="2">
    <border>
      <left/>
      <right/>
      <top/>
      <bottom/>
      <diagonal/>
    </border>
    <border>
      <left/>
      <right/>
      <top/>
      <bottom style="thin">
        <color rgb="FFD1D5DB"/>
      </bottom>
      <diagonal/>
    </border>
  </borders>
  <cellStyleXfs count="1">
    <xf numFmtId="0" fontId="0" fillId="0" borderId="0"/>
  </cellStyleXfs>
  <cellXfs count="23">
    <xf numFmtId="0" fontId="0" fillId="0" borderId="0" xfId="0"/>
    <xf numFmtId="0" fontId="1" fillId="0" borderId="0" xfId="0" applyFont="1"/>
    <xf numFmtId="0" fontId="3" fillId="0" borderId="0" xfId="0" applyFont="1"/>
    <xf numFmtId="0" fontId="5" fillId="6" borderId="0" xfId="0" applyFont="1" applyFill="1" applyAlignment="1">
      <alignment horizontal="center" vertical="center" wrapText="1"/>
    </xf>
    <xf numFmtId="0" fontId="5" fillId="6" borderId="0" xfId="0" applyFont="1" applyFill="1" applyAlignment="1">
      <alignment horizontal="left" vertical="center" wrapText="1"/>
    </xf>
    <xf numFmtId="0" fontId="6" fillId="7" borderId="0" xfId="0" applyFont="1" applyFill="1"/>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7" fillId="0" borderId="1" xfId="0" applyFont="1" applyBorder="1" applyAlignment="1">
      <alignment horizontal="center" vertical="top" wrapText="1"/>
    </xf>
    <xf numFmtId="0" fontId="9" fillId="0" borderId="1" xfId="0" applyFont="1" applyBorder="1" applyAlignment="1">
      <alignment horizontal="center" vertical="top" wrapText="1"/>
    </xf>
    <xf numFmtId="0" fontId="5" fillId="6" borderId="0" xfId="0" applyFont="1" applyFill="1" applyAlignment="1">
      <alignment vertical="center" wrapText="1"/>
    </xf>
    <xf numFmtId="0" fontId="8" fillId="0" borderId="1" xfId="0" applyFont="1" applyBorder="1" applyAlignment="1">
      <alignment vertical="top" wrapText="1"/>
    </xf>
    <xf numFmtId="0" fontId="10" fillId="2" borderId="0" xfId="0" applyFont="1" applyFill="1" applyAlignment="1">
      <alignment horizontal="left"/>
    </xf>
    <xf numFmtId="0" fontId="10" fillId="3" borderId="0" xfId="0" applyFont="1" applyFill="1" applyAlignment="1">
      <alignment horizontal="left"/>
    </xf>
    <xf numFmtId="0" fontId="4" fillId="0" borderId="0" xfId="0" applyFont="1" applyAlignment="1">
      <alignment horizontal="center"/>
    </xf>
    <xf numFmtId="0" fontId="10" fillId="4" borderId="0" xfId="0" applyFont="1" applyFill="1" applyAlignment="1">
      <alignment horizontal="left"/>
    </xf>
    <xf numFmtId="0" fontId="10" fillId="5" borderId="0" xfId="0" applyFont="1" applyFill="1" applyAlignment="1">
      <alignment horizontal="left"/>
    </xf>
    <xf numFmtId="0" fontId="12" fillId="0" borderId="0" xfId="0" applyFont="1"/>
    <xf numFmtId="0" fontId="11" fillId="0" borderId="1" xfId="0" applyFont="1" applyBorder="1" applyAlignment="1">
      <alignment vertical="top" wrapText="1"/>
    </xf>
    <xf numFmtId="0" fontId="13" fillId="0" borderId="0" xfId="0" applyFont="1"/>
    <xf numFmtId="0" fontId="0" fillId="0" borderId="0" xfId="0"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liexpress.com/item/10000358224332.html" TargetMode="External"/><Relationship Id="rId21" Type="http://schemas.openxmlformats.org/officeDocument/2006/relationships/hyperlink" Target="https://www.aliexpress.com/item/4000190579760.html" TargetMode="External"/><Relationship Id="rId42" Type="http://schemas.openxmlformats.org/officeDocument/2006/relationships/hyperlink" Target="https://www.aliexpress.com/wholesale?SearchText=MGN9H+linear+rail+710mm+with+carriage" TargetMode="External"/><Relationship Id="rId63" Type="http://schemas.openxmlformats.org/officeDocument/2006/relationships/hyperlink" Target="https://www.stepperonline.co.uk/nema-17-bipolar-45ncm-63-74oz-in-1-5a-42x42x39mm-4-wires-w-1m-pin-connector-17hs15-1504s-x1.html" TargetMode="External"/><Relationship Id="rId84" Type="http://schemas.openxmlformats.org/officeDocument/2006/relationships/hyperlink" Target="https://www.rapidonline.com/alpha-wire-3049-bk001-26-awg-pvc-black-hook-up-wire-1kft-01-5540" TargetMode="External"/><Relationship Id="rId138" Type="http://schemas.openxmlformats.org/officeDocument/2006/relationships/hyperlink" Target="https://allfix.co.uk/m3-x-16-socket-countersunk-steel-self-colour-sck0scm030x0016.html" TargetMode="External"/><Relationship Id="rId159" Type="http://schemas.openxmlformats.org/officeDocument/2006/relationships/hyperlink" Target="https://www.amazon.co.uk/s?k=M5+drop+in+T+nut+2020+profile" TargetMode="External"/><Relationship Id="rId170" Type="http://schemas.openxmlformats.org/officeDocument/2006/relationships/hyperlink" Target="https://www.aliexpress.com/item/1005009244888323.html" TargetMode="External"/><Relationship Id="rId191" Type="http://schemas.openxmlformats.org/officeDocument/2006/relationships/hyperlink" Target="https://github.com/theworkisthework/terraPen-mechanical-design-files/blob/main/STLs/Pen_Clip_Link.stl" TargetMode="External"/><Relationship Id="rId205" Type="http://schemas.openxmlformats.org/officeDocument/2006/relationships/hyperlink" Target="https://github.com/theworkisthework/terraPen-mechanical-design-files/blob/main/STLs/Nema14mount2carriage.stl" TargetMode="External"/><Relationship Id="rId107" Type="http://schemas.openxmlformats.org/officeDocument/2006/relationships/hyperlink" Target="https://www.aliexpress.com/wholesale?SearchText=optical+endstop+switch+module+3D+printer" TargetMode="External"/><Relationship Id="rId11" Type="http://schemas.openxmlformats.org/officeDocument/2006/relationships/hyperlink" Target="https://www.amazon.co.uk/s?k=2020+T+slot+aluminium+extrusion+710mm+cut+to+length" TargetMode="External"/><Relationship Id="rId32" Type="http://schemas.openxmlformats.org/officeDocument/2006/relationships/hyperlink" Target="https://www.ebay.co.uk/itm/404287645922?var=674191197230" TargetMode="External"/><Relationship Id="rId53" Type="http://schemas.openxmlformats.org/officeDocument/2006/relationships/hyperlink" Target="https://www.amazon.co.uk/s?k=GT2+20+tooth+pulley+5mm+bore+6mm+belt" TargetMode="External"/><Relationship Id="rId74" Type="http://schemas.openxmlformats.org/officeDocument/2006/relationships/hyperlink" Target="https://uk.farnell.com/ideal-power/15dys830-120250w-k/adapter-ac-dc-12v-2-5a/dp/3703709" TargetMode="External"/><Relationship Id="rId128" Type="http://schemas.openxmlformats.org/officeDocument/2006/relationships/hyperlink" Target="https://www.amazon.co.uk/s?k=hex+key+set+1.5+2+2.5+3+4mm" TargetMode="External"/><Relationship Id="rId149" Type="http://schemas.openxmlformats.org/officeDocument/2006/relationships/hyperlink" Target="https://thepihut.com/products/brass-heat-set-inserts-for-plastic-m3-x-3mm-50-pack" TargetMode="External"/><Relationship Id="rId5" Type="http://schemas.openxmlformats.org/officeDocument/2006/relationships/hyperlink" Target="https://www.aluminium-profile.co.uk/black-ir-20x20-profile-ir37015blk/" TargetMode="External"/><Relationship Id="rId95" Type="http://schemas.openxmlformats.org/officeDocument/2006/relationships/hyperlink" Target="https://www.amazon.co.uk/s?k=JST+PH+2.0+connector+housing+crimp+kit" TargetMode="External"/><Relationship Id="rId160" Type="http://schemas.openxmlformats.org/officeDocument/2006/relationships/hyperlink" Target="https://www.aliexpress.com/wholesale?SearchText=M5+drop+in+T+nut+2020+profile" TargetMode="External"/><Relationship Id="rId181" Type="http://schemas.openxmlformats.org/officeDocument/2006/relationships/hyperlink" Target="https://github.com/theworkisthework/terraPen-mechanical-design-files/blob/main/STLs/Xx_Carriage_Top.stl" TargetMode="External"/><Relationship Id="rId216" Type="http://schemas.openxmlformats.org/officeDocument/2006/relationships/hyperlink" Target="https://github.com/theworkisthework/terraPen-mechanical-design-files/blob/main/Stepper_Z_Axis_Experimental/Pen%20Holder%20Insert.FCStd" TargetMode="External"/><Relationship Id="rId22" Type="http://schemas.openxmlformats.org/officeDocument/2006/relationships/hyperlink" Target="https://www.ebay.co.uk/sch/i.html?_nkw=2020+aluminium+profile+90+degree+corner+bracket+L" TargetMode="External"/><Relationship Id="rId43" Type="http://schemas.openxmlformats.org/officeDocument/2006/relationships/hyperlink" Target="https://www.jugetek.com/product-page/black-anodized-linear-rail-mgn7-mgn9-mgn12-mgn15?variantId=e3079c50-bfe9-46c3-bc79-164a8e385585" TargetMode="External"/><Relationship Id="rId64" Type="http://schemas.openxmlformats.org/officeDocument/2006/relationships/hyperlink" Target="https://www.ebay.co.uk/sch/i.html?_nkw=NEMA+17+stepper+1.7A+42x42x38+bipolar" TargetMode="External"/><Relationship Id="rId118" Type="http://schemas.openxmlformats.org/officeDocument/2006/relationships/hyperlink" Target="https://www.ebay.co.uk/sch/i.html?_nkw=7x7+cable+drag+chain+1m" TargetMode="External"/><Relationship Id="rId139" Type="http://schemas.openxmlformats.org/officeDocument/2006/relationships/hyperlink" Target="https://allfix.co.uk/m3-x-30-socket-countersunk-steel-self-colour-sck0scm030x0030.html" TargetMode="External"/><Relationship Id="rId85" Type="http://schemas.openxmlformats.org/officeDocument/2006/relationships/hyperlink" Target="https://www.ebay.co.uk/itm/398302213229?var=666566085777" TargetMode="External"/><Relationship Id="rId150" Type="http://schemas.openxmlformats.org/officeDocument/2006/relationships/hyperlink" Target="https://www.ebay.co.uk/sch/i.html?_nkw=M3+heat+set+insert+M3x3+brass" TargetMode="External"/><Relationship Id="rId171" Type="http://schemas.openxmlformats.org/officeDocument/2006/relationships/hyperlink" Target="https://github.com/theworkisthework/terraPen-mechanical-design-files/blob/main/STLs/X_Idler_Top.stl" TargetMode="External"/><Relationship Id="rId192" Type="http://schemas.openxmlformats.org/officeDocument/2006/relationships/hyperlink" Target="https://github.com/theworkisthework/terraPen-mechanical-design-files/blob/main/STLs/Electronics%20Enclosure.stl" TargetMode="External"/><Relationship Id="rId206" Type="http://schemas.openxmlformats.org/officeDocument/2006/relationships/hyperlink" Target="https://github.com/theworkisthework/terraPen-mechanical-design-files/blob/main/STLs/TPU%20Bungs/10mm%20Tapered%20Bung.stl" TargetMode="External"/><Relationship Id="rId12" Type="http://schemas.openxmlformats.org/officeDocument/2006/relationships/hyperlink" Target="https://www.aliexpress.com/wholesale?SearchText=2020+T+slot+aluminium+extrusion+710mm+cut+to+length" TargetMode="External"/><Relationship Id="rId33" Type="http://schemas.openxmlformats.org/officeDocument/2006/relationships/hyperlink" Target="https://www.ebay.co.uk/itm/326521985418" TargetMode="External"/><Relationship Id="rId108" Type="http://schemas.openxmlformats.org/officeDocument/2006/relationships/hyperlink" Target="https://www.mouser.co.uk/en/ProductDetail/Wurth-Elektronik/971180365?qs=%252BEew9%252B0nqrDVrObtSz99Gg%3D%3D" TargetMode="External"/><Relationship Id="rId129" Type="http://schemas.openxmlformats.org/officeDocument/2006/relationships/hyperlink" Target="https://www.aliexpress.com/wholesale?SearchText=hex+key+set+1.5+2+2.5+3+4mm" TargetMode="External"/><Relationship Id="rId54" Type="http://schemas.openxmlformats.org/officeDocument/2006/relationships/hyperlink" Target="https://www.aliexpress.com/wholesale?SearchText=GT2+20+tooth+pulley+5mm+bore+6mm+belt" TargetMode="External"/><Relationship Id="rId75" Type="http://schemas.openxmlformats.org/officeDocument/2006/relationships/hyperlink" Target="https://www.ebay.co.uk/sch/i.html?_nkw=12V+2A+power+supply+5.5x2.1mm+UK+plug" TargetMode="External"/><Relationship Id="rId96" Type="http://schemas.openxmlformats.org/officeDocument/2006/relationships/hyperlink" Target="https://www.aliexpress.com/wholesale?SearchText=JST+PH+2.0+connector+housing+crimp+kit" TargetMode="External"/><Relationship Id="rId140" Type="http://schemas.openxmlformats.org/officeDocument/2006/relationships/hyperlink" Target="https://allfix.co.uk/m3-x-6-socket-button-head-steel-self-colour-sbn0scm030x0006.html" TargetMode="External"/><Relationship Id="rId161" Type="http://schemas.openxmlformats.org/officeDocument/2006/relationships/hyperlink" Target="https://www.stepperonline.co.uk/nema-14-bipolar-1-8deg-23ncm-32-57oz-in-0-5a-35x35x42mm-4-wires-14hs17-0504s.html" TargetMode="External"/><Relationship Id="rId182" Type="http://schemas.openxmlformats.org/officeDocument/2006/relationships/hyperlink" Target="https://github.com/theworkisthework/terraPen-mechanical-design-files/blob/main/STLs/Xx_Carraiage_Bottom.stl" TargetMode="External"/><Relationship Id="rId217" Type="http://schemas.openxmlformats.org/officeDocument/2006/relationships/hyperlink" Target="https://github.com/theworkisthework/terraPen-mechanical-design-files/blob/main/STLs/D_Line_20x10_Flat_corner.stl" TargetMode="External"/><Relationship Id="rId6" Type="http://schemas.openxmlformats.org/officeDocument/2006/relationships/hyperlink" Target="https://www.ebay.co.uk/sch/i.html?_nkw=2020+T+slot+aluminium+extrusion+560mm+cut+to+length" TargetMode="External"/><Relationship Id="rId23" Type="http://schemas.openxmlformats.org/officeDocument/2006/relationships/hyperlink" Target="https://www.amazon.co.uk/s?k=2020+aluminium+profile+90+degree+corner+bracket+L" TargetMode="External"/><Relationship Id="rId119" Type="http://schemas.openxmlformats.org/officeDocument/2006/relationships/hyperlink" Target="https://www.amazon.co.uk/s?k=7x7+cable+drag+chain+1m" TargetMode="External"/><Relationship Id="rId44" Type="http://schemas.openxmlformats.org/officeDocument/2006/relationships/hyperlink" Target="https://www.ebay.co.uk/sch/i.html?_nkw=MGN7H+50mm+linear+rail+with+carriage+block" TargetMode="External"/><Relationship Id="rId65" Type="http://schemas.openxmlformats.org/officeDocument/2006/relationships/hyperlink" Target="https://www.amazon.co.uk/s?k=NEMA+17+stepper+1.7A+42x42x38+bipolar" TargetMode="External"/><Relationship Id="rId86" Type="http://schemas.openxmlformats.org/officeDocument/2006/relationships/hyperlink" Target="https://www.ebay.co.uk/sch/i.html?_nkw=4+core+26+AWG+PVC+cable+per+metre" TargetMode="External"/><Relationship Id="rId130" Type="http://schemas.openxmlformats.org/officeDocument/2006/relationships/hyperlink" Target="https://allfix.co.uk/m2-x-8-socket-head-capscrew-steel-self-colour-scp0scm020x0008.html" TargetMode="External"/><Relationship Id="rId151" Type="http://schemas.openxmlformats.org/officeDocument/2006/relationships/hyperlink" Target="https://www.amazon.co.uk/s?k=M3+heat+set+insert+M3x3+brass" TargetMode="External"/><Relationship Id="rId172" Type="http://schemas.openxmlformats.org/officeDocument/2006/relationships/hyperlink" Target="https://github.com/theworkisthework/terraPen-mechanical-design-files/blob/main/STLs/X_Idler_Bottom.stl" TargetMode="External"/><Relationship Id="rId193" Type="http://schemas.openxmlformats.org/officeDocument/2006/relationships/hyperlink" Target="https://github.com/theworkisthework/terraPen-mechanical-design-files/blob/main/STLs/Power_Enclosure_Box.stl" TargetMode="External"/><Relationship Id="rId207" Type="http://schemas.openxmlformats.org/officeDocument/2006/relationships/hyperlink" Target="https://github.com/theworkisthework/terraPen-mechanical-design-files/blob/main/STLs/TPU%20Bungs/11mm%20Tapered%20Bung.stl" TargetMode="External"/><Relationship Id="rId13" Type="http://schemas.openxmlformats.org/officeDocument/2006/relationships/hyperlink" Target="https://www.aluminium-profile.co.uk/black-ir-20x20-profile-ir37015blk/" TargetMode="External"/><Relationship Id="rId109" Type="http://schemas.openxmlformats.org/officeDocument/2006/relationships/hyperlink" Target="https://www.ebay.co.uk/sch/i.html?_nkw=nylon+M3+standoff+20mm" TargetMode="External"/><Relationship Id="rId34" Type="http://schemas.openxmlformats.org/officeDocument/2006/relationships/hyperlink" Target="https://www.ebay.co.uk/itm/318885672822?var=617097751297" TargetMode="External"/><Relationship Id="rId55" Type="http://schemas.openxmlformats.org/officeDocument/2006/relationships/hyperlink" Target="https://www.aliexpress.com/item/32726309946.html" TargetMode="External"/><Relationship Id="rId76" Type="http://schemas.openxmlformats.org/officeDocument/2006/relationships/hyperlink" Target="https://www.amazon.co.uk/s?k=12V+2A+power+supply+5.5x2.1mm+UK+plug" TargetMode="External"/><Relationship Id="rId97" Type="http://schemas.openxmlformats.org/officeDocument/2006/relationships/hyperlink" Target="https://www.ebay.co.uk/sch/i.html?_nkw=insulation+tape+assorted+colours+electrical+PVC" TargetMode="External"/><Relationship Id="rId120" Type="http://schemas.openxmlformats.org/officeDocument/2006/relationships/hyperlink" Target="https://www.aliexpress.com/wholesale?SearchText=7x7+cable+drag+chain+1m" TargetMode="External"/><Relationship Id="rId141" Type="http://schemas.openxmlformats.org/officeDocument/2006/relationships/hyperlink" Target="https://allfix.co.uk/m3-x-8-socket-button-head-steel-self-colour-sbn0scm030x0008.html" TargetMode="External"/><Relationship Id="rId7" Type="http://schemas.openxmlformats.org/officeDocument/2006/relationships/hyperlink" Target="https://www.amazon.co.uk/s?k=2020+T+slot+aluminium+extrusion+560mm+cut+to+length" TargetMode="External"/><Relationship Id="rId162" Type="http://schemas.openxmlformats.org/officeDocument/2006/relationships/hyperlink" Target="https://www.ebay.co.uk/sch/i.html?_nkw=NEMA+14+stepper+motor+35mm+bipolar+1.8+degree" TargetMode="External"/><Relationship Id="rId183" Type="http://schemas.openxmlformats.org/officeDocument/2006/relationships/hyperlink" Target="https://github.com/theworkisthework/terraPen-mechanical-design-files/blob/main/STLs/Tool_Carriage.stl" TargetMode="External"/><Relationship Id="rId218" Type="http://schemas.openxmlformats.org/officeDocument/2006/relationships/hyperlink" Target="https://github.com/theworkisthework/terraPen-mechanical-design-files/blob/main/STLs/CHAIN_SUPPORT.stl" TargetMode="External"/><Relationship Id="rId24" Type="http://schemas.openxmlformats.org/officeDocument/2006/relationships/hyperlink" Target="https://www.aliexpress.com/wholesale?SearchText=2020+aluminium+profile+90+degree+corner+bracket+L" TargetMode="External"/><Relationship Id="rId45" Type="http://schemas.openxmlformats.org/officeDocument/2006/relationships/hyperlink" Target="https://www.amazon.co.uk/s?k=MGN7H+50mm+linear+rail+with+carriage+block" TargetMode="External"/><Relationship Id="rId66" Type="http://schemas.openxmlformats.org/officeDocument/2006/relationships/hyperlink" Target="https://www.aliexpress.com/wholesale?SearchText=NEMA+17+stepper+1.7A+42x42x38+bipolar" TargetMode="External"/><Relationship Id="rId87" Type="http://schemas.openxmlformats.org/officeDocument/2006/relationships/hyperlink" Target="https://www.amazon.co.uk/s?k=4+core+26+AWG+PVC+cable+per+metre" TargetMode="External"/><Relationship Id="rId110" Type="http://schemas.openxmlformats.org/officeDocument/2006/relationships/hyperlink" Target="https://www.amazon.co.uk/s?k=nylon+M3+standoff+20mm" TargetMode="External"/><Relationship Id="rId131" Type="http://schemas.openxmlformats.org/officeDocument/2006/relationships/hyperlink" Target="https://www.ebay.co.uk/itm/316492832478" TargetMode="External"/><Relationship Id="rId152" Type="http://schemas.openxmlformats.org/officeDocument/2006/relationships/hyperlink" Target="https://www.aliexpress.com/wholesale?SearchText=M3+heat+set+insert+M3x3+brass" TargetMode="External"/><Relationship Id="rId173" Type="http://schemas.openxmlformats.org/officeDocument/2006/relationships/hyperlink" Target="https://github.com/theworkisthework/terraPen-mechanical-design-files/blob/main/STLs/Y_Idler_Top.stl" TargetMode="External"/><Relationship Id="rId194" Type="http://schemas.openxmlformats.org/officeDocument/2006/relationships/hyperlink" Target="https://github.com/theworkisthework/terraPen-mechanical-design-files/blob/main/STLs/Power_Enclosure_Back.stl" TargetMode="External"/><Relationship Id="rId208" Type="http://schemas.openxmlformats.org/officeDocument/2006/relationships/hyperlink" Target="https://github.com/theworkisthework/terraPen-mechanical-design-files/blob/main/STLs/TPU%20Bungs/12mm%20Aperture%20Bung.stl" TargetMode="External"/><Relationship Id="rId14" Type="http://schemas.openxmlformats.org/officeDocument/2006/relationships/hyperlink" Target="https://www.ebay.co.uk/sch/i.html?_nkw=2020+T+slot+aluminium+extrusion+45mm+cut" TargetMode="External"/><Relationship Id="rId35" Type="http://schemas.openxmlformats.org/officeDocument/2006/relationships/hyperlink" Target="https://www.jugetek.com/product-page/black-anodized-linear-rail-mgn7-mgn9-mgn12-mgn15?variantId=e3079c50-bfe9-46c3-bc79-164a8e385585" TargetMode="External"/><Relationship Id="rId56" Type="http://schemas.openxmlformats.org/officeDocument/2006/relationships/hyperlink" Target="https://www.ebay.co.uk/sch/i.html?_nkw=GT2+20T+smooth+idler+pulley+5mm+bore+6mm+belt" TargetMode="External"/><Relationship Id="rId77" Type="http://schemas.openxmlformats.org/officeDocument/2006/relationships/hyperlink" Target="https://www.aliexpress.com/wholesale?SearchText=12V+2A+power+supply+5.5x2.1mm+UK+plug" TargetMode="External"/><Relationship Id="rId100" Type="http://schemas.openxmlformats.org/officeDocument/2006/relationships/hyperlink" Target="https://www.ebay.co.uk/itm/820271314350" TargetMode="External"/><Relationship Id="rId8" Type="http://schemas.openxmlformats.org/officeDocument/2006/relationships/hyperlink" Target="https://www.aliexpress.com/wholesale?SearchText=2020+T+slot+aluminium+extrusion+560mm+cut+to+length" TargetMode="External"/><Relationship Id="rId51" Type="http://schemas.openxmlformats.org/officeDocument/2006/relationships/hyperlink" Target="https://www.aliexpress.com/item/1005010499786326.html" TargetMode="External"/><Relationship Id="rId72" Type="http://schemas.openxmlformats.org/officeDocument/2006/relationships/hyperlink" Target="https://www.amazon.co.uk/s?k=microSD+card+8GB+SanDisk" TargetMode="External"/><Relationship Id="rId93" Type="http://schemas.openxmlformats.org/officeDocument/2006/relationships/hyperlink" Target="https://www.ebay.co.uk/itm/307018351125" TargetMode="External"/><Relationship Id="rId98" Type="http://schemas.openxmlformats.org/officeDocument/2006/relationships/hyperlink" Target="https://www.amazon.co.uk/s?k=insulation+tape+assorted+colours+electrical+PVC" TargetMode="External"/><Relationship Id="rId121" Type="http://schemas.openxmlformats.org/officeDocument/2006/relationships/hyperlink" Target="https://www.screwfix.com/p/d-line-pvc-black-micro-trunking-20mm-x-10mm-x-2m/960ra" TargetMode="External"/><Relationship Id="rId142" Type="http://schemas.openxmlformats.org/officeDocument/2006/relationships/hyperlink" Target="https://allfix.co.uk/m3-x-16-socket-button-head-steel-self-colour-sbn0scm030x0016.html" TargetMode="External"/><Relationship Id="rId163" Type="http://schemas.openxmlformats.org/officeDocument/2006/relationships/hyperlink" Target="https://www.amazon.co.uk/s?k=NEMA+14+stepper+motor+35mm+bipolar+1.8+degree" TargetMode="External"/><Relationship Id="rId184" Type="http://schemas.openxmlformats.org/officeDocument/2006/relationships/hyperlink" Target="https://github.com/theworkisthework/terraPen-mechanical-design-files/blob/main/STLs/Belt_Clamp_Plate.stl" TargetMode="External"/><Relationship Id="rId189" Type="http://schemas.openxmlformats.org/officeDocument/2006/relationships/hyperlink" Target="https://github.com/theworkisthework/terraPen-mechanical-design-files/blob/main/STLs/Pen_Clip_Block.stl" TargetMode="External"/><Relationship Id="rId219" Type="http://schemas.openxmlformats.org/officeDocument/2006/relationships/hyperlink" Target="https://thepihut.com/products/heat-set-insert-for-soldering-irons-4-40-m3-inserts" TargetMode="External"/><Relationship Id="rId3" Type="http://schemas.openxmlformats.org/officeDocument/2006/relationships/hyperlink" Target="https://www.amazon.co.uk/s?k=2020+T+slot+aluminium+extrusion+760mm+cut+to+length" TargetMode="External"/><Relationship Id="rId214" Type="http://schemas.openxmlformats.org/officeDocument/2006/relationships/hyperlink" Target="https://github.com/theworkisthework/terraPen-mechanical-design-files/blob/main/STLs/TPU%20Bungs/9mm%20Aperture%20Bung.stl" TargetMode="External"/><Relationship Id="rId25" Type="http://schemas.openxmlformats.org/officeDocument/2006/relationships/hyperlink" Target="https://www.aliexpress.com/item/33014925172.html" TargetMode="External"/><Relationship Id="rId46" Type="http://schemas.openxmlformats.org/officeDocument/2006/relationships/hyperlink" Target="https://www.aliexpress.com/wholesale?SearchText=MGN7H+50mm+linear+rail+with+carriage+block" TargetMode="External"/><Relationship Id="rId67" Type="http://schemas.openxmlformats.org/officeDocument/2006/relationships/hyperlink" Target="https://terrapen.xyz/products/emerald-dingo-esp32-plotter-controller?variant=64807034749305" TargetMode="External"/><Relationship Id="rId116" Type="http://schemas.openxmlformats.org/officeDocument/2006/relationships/hyperlink" Target="https://www.aliexpress.com/item/1005010074372646.html" TargetMode="External"/><Relationship Id="rId137" Type="http://schemas.openxmlformats.org/officeDocument/2006/relationships/hyperlink" Target="https://allfix.co.uk/m3-x-8-socket-countersunk-steel-self-colour-sck0scm030x0008.html" TargetMode="External"/><Relationship Id="rId158" Type="http://schemas.openxmlformats.org/officeDocument/2006/relationships/hyperlink" Target="https://www.ebay.co.uk/sch/i.html?_nkw=M5+drop+in+T+nut+2020+profile" TargetMode="External"/><Relationship Id="rId20" Type="http://schemas.openxmlformats.org/officeDocument/2006/relationships/hyperlink" Target="https://www.aliexpress.com/wholesale?SearchText=2020+3+way+corner+cube+connector+aluminium+profile" TargetMode="External"/><Relationship Id="rId41" Type="http://schemas.openxmlformats.org/officeDocument/2006/relationships/hyperlink" Target="https://www.amazon.co.uk/s?k=MGN9H+linear+rail+710mm+with+carriage" TargetMode="External"/><Relationship Id="rId62" Type="http://schemas.openxmlformats.org/officeDocument/2006/relationships/hyperlink" Target="https://www.aliexpress.com/wholesale?SearchText=GT2+20T+toothed+idler+pulley+5mm+bore+6mm+belt+with+bearing" TargetMode="External"/><Relationship Id="rId83" Type="http://schemas.openxmlformats.org/officeDocument/2006/relationships/hyperlink" Target="https://www.aliexpress.com/wholesale?SearchText=JST+PH+2.0+4+pin+cable+500mm" TargetMode="External"/><Relationship Id="rId88" Type="http://schemas.openxmlformats.org/officeDocument/2006/relationships/hyperlink" Target="https://www.aliexpress.com/wholesale?SearchText=4+core+26+AWG+PVC+cable+per+metre" TargetMode="External"/><Relationship Id="rId111" Type="http://schemas.openxmlformats.org/officeDocument/2006/relationships/hyperlink" Target="https://www.aliexpress.com/wholesale?SearchText=nylon+M3+standoff+20mm" TargetMode="External"/><Relationship Id="rId132" Type="http://schemas.openxmlformats.org/officeDocument/2006/relationships/hyperlink" Target="https://www.ebay.co.uk/sch/i.html?_nkw=M2+heat+set+threaded+insert+brass" TargetMode="External"/><Relationship Id="rId153" Type="http://schemas.openxmlformats.org/officeDocument/2006/relationships/hyperlink" Target="https://allfix.co.uk/m5-x-8-socket-countersunk-steel-self-colour-sck0scm050x0008.html" TargetMode="External"/><Relationship Id="rId174" Type="http://schemas.openxmlformats.org/officeDocument/2006/relationships/hyperlink" Target="https://github.com/theworkisthework/terraPen-mechanical-design-files/blob/main/STLs/Y_Idler_Bottom.stl" TargetMode="External"/><Relationship Id="rId179" Type="http://schemas.openxmlformats.org/officeDocument/2006/relationships/hyperlink" Target="https://github.com/theworkisthework/terraPen-mechanical-design-files/blob/main/STLs/Xy_Carriage_Top.stl" TargetMode="External"/><Relationship Id="rId195" Type="http://schemas.openxmlformats.org/officeDocument/2006/relationships/hyperlink" Target="https://github.com/theworkisthework/terraPen-mechanical-design-files/blob/main/STLs/Xx_Endstop_Top%20.stl" TargetMode="External"/><Relationship Id="rId209" Type="http://schemas.openxmlformats.org/officeDocument/2006/relationships/hyperlink" Target="https://github.com/theworkisthework/terraPen-mechanical-design-files/blob/main/STLs/TPU%20Bungs/15mm%20Aperture%20Bung.stl" TargetMode="External"/><Relationship Id="rId190" Type="http://schemas.openxmlformats.org/officeDocument/2006/relationships/hyperlink" Target="https://github.com/theworkisthework/terraPen-mechanical-design-files/blob/main/STLs/Pen_Clip_Latch.stl" TargetMode="External"/><Relationship Id="rId204" Type="http://schemas.openxmlformats.org/officeDocument/2006/relationships/hyperlink" Target="https://github.com/theworkisthework/terraPen-mechanical-design-files/blob/main/STLs/stepper%20belt%20pulley.stl" TargetMode="External"/><Relationship Id="rId220" Type="http://schemas.openxmlformats.org/officeDocument/2006/relationships/hyperlink" Target="https://uk.rs-online.com/web/p/threading-taps/2666568" TargetMode="External"/><Relationship Id="rId15" Type="http://schemas.openxmlformats.org/officeDocument/2006/relationships/hyperlink" Target="https://www.amazon.co.uk/s?k=2020+T+slot+aluminium+extrusion+45mm+cut" TargetMode="External"/><Relationship Id="rId36" Type="http://schemas.openxmlformats.org/officeDocument/2006/relationships/hyperlink" Target="https://www.ebay.co.uk/sch/i.html?_nkw=MGN9H+linear+rail+540mm+with+carriage" TargetMode="External"/><Relationship Id="rId57" Type="http://schemas.openxmlformats.org/officeDocument/2006/relationships/hyperlink" Target="https://www.amazon.co.uk/s?k=GT2+20T+smooth+idler+pulley+5mm+bore+6mm+belt" TargetMode="External"/><Relationship Id="rId106" Type="http://schemas.openxmlformats.org/officeDocument/2006/relationships/hyperlink" Target="https://www.amazon.co.uk/s?k=optical+endstop+switch+module+3D+printer" TargetMode="External"/><Relationship Id="rId127" Type="http://schemas.openxmlformats.org/officeDocument/2006/relationships/hyperlink" Target="https://www.ebay.co.uk/sch/i.html?_nkw=hex+key+set+1.5+2+2.5+3+4mm" TargetMode="External"/><Relationship Id="rId10" Type="http://schemas.openxmlformats.org/officeDocument/2006/relationships/hyperlink" Target="https://www.ebay.co.uk/sch/i.html?_nkw=2020+T+slot+aluminium+extrusion+710mm+cut+to+length" TargetMode="External"/><Relationship Id="rId31" Type="http://schemas.openxmlformats.org/officeDocument/2006/relationships/hyperlink" Target="https://www.ebay.co.uk/itm/206068130690?var=506833273757" TargetMode="External"/><Relationship Id="rId52" Type="http://schemas.openxmlformats.org/officeDocument/2006/relationships/hyperlink" Target="https://www.ebay.co.uk/sch/i.html?_nkw=GT2+20+tooth+pulley+5mm+bore+6mm+belt" TargetMode="External"/><Relationship Id="rId73" Type="http://schemas.openxmlformats.org/officeDocument/2006/relationships/hyperlink" Target="https://www.aliexpress.com/wholesale?SearchText=microSD+card+8GB+SanDisk" TargetMode="External"/><Relationship Id="rId78" Type="http://schemas.openxmlformats.org/officeDocument/2006/relationships/hyperlink" Target="https://www.ebay.co.uk/sch/i.html?_nkw=JST+PH+2.0+4+pin+cable+750mm" TargetMode="External"/><Relationship Id="rId94" Type="http://schemas.openxmlformats.org/officeDocument/2006/relationships/hyperlink" Target="https://www.ebay.co.uk/sch/i.html?_nkw=JST+PH+2.0+connector+housing+crimp+kit" TargetMode="External"/><Relationship Id="rId99" Type="http://schemas.openxmlformats.org/officeDocument/2006/relationships/hyperlink" Target="https://www.aliexpress.com/wholesale?SearchText=insulation+tape+assorted+colours+electrical+PVC" TargetMode="External"/><Relationship Id="rId101" Type="http://schemas.openxmlformats.org/officeDocument/2006/relationships/hyperlink" Target="https://www.ebay.co.uk/sch/i.html?_nkw=JST+SM+connector+kit+male+female+crimp+2.5mm" TargetMode="External"/><Relationship Id="rId122" Type="http://schemas.openxmlformats.org/officeDocument/2006/relationships/hyperlink" Target="https://www.screwfix.com/p/d-line-abs-plastic-black-trunking-accessories-5-pieces/117fg" TargetMode="External"/><Relationship Id="rId143" Type="http://schemas.openxmlformats.org/officeDocument/2006/relationships/hyperlink" Target="https://allfix.co.uk/m3-x-8-socket-head-capscrew-steel-self-colour-scp0scm030x0008.html" TargetMode="External"/><Relationship Id="rId148" Type="http://schemas.openxmlformats.org/officeDocument/2006/relationships/hyperlink" Target="https://www.aliexpress.com/wholesale?SearchText=M3+drop+in+T+nut+2020+profile" TargetMode="External"/><Relationship Id="rId164" Type="http://schemas.openxmlformats.org/officeDocument/2006/relationships/hyperlink" Target="https://www.aliexpress.com/wholesale?SearchText=NEMA+14+stepper+motor+35mm+bipolar+1.8+degree" TargetMode="External"/><Relationship Id="rId169" Type="http://schemas.openxmlformats.org/officeDocument/2006/relationships/hyperlink" Target="https://www.ebay.co.uk/itm/406338225404?var=676666549225" TargetMode="External"/><Relationship Id="rId185" Type="http://schemas.openxmlformats.org/officeDocument/2006/relationships/hyperlink" Target="https://github.com/theworkisthework/terraPen-mechanical-design-files/blob/main/STLs/Belt_Clamp_Teeth.stl" TargetMode="External"/><Relationship Id="rId4" Type="http://schemas.openxmlformats.org/officeDocument/2006/relationships/hyperlink" Target="https://www.aliexpress.com/wholesale?SearchText=2020+T+slot+aluminium+extrusion+760mm+cut+to+length" TargetMode="External"/><Relationship Id="rId9" Type="http://schemas.openxmlformats.org/officeDocument/2006/relationships/hyperlink" Target="https://www.aluminium-profile.co.uk/black-ir-20x20-profile-ir37015blk/" TargetMode="External"/><Relationship Id="rId180" Type="http://schemas.openxmlformats.org/officeDocument/2006/relationships/hyperlink" Target="https://github.com/theworkisthework/terraPen-mechanical-design-files/blob/main/STLs/Xy_Carriage_Bottom.stl" TargetMode="External"/><Relationship Id="rId210" Type="http://schemas.openxmlformats.org/officeDocument/2006/relationships/hyperlink" Target="https://github.com/theworkisthework/terraPen-mechanical-design-files/blob/main/STLs/TPU%20Bungs/16_3mm%20Tapered%20Bung.stl" TargetMode="External"/><Relationship Id="rId215" Type="http://schemas.openxmlformats.org/officeDocument/2006/relationships/hyperlink" Target="https://github.com/theworkisthework/terraPen-mechanical-design-files/blob/main/STLs/TPU%20Bungs/9mm%20Tapered%20Bung.stl" TargetMode="External"/><Relationship Id="rId26" Type="http://schemas.openxmlformats.org/officeDocument/2006/relationships/hyperlink" Target="https://www.ebay.co.uk/sch/i.html?_nkw=rubber+feet+20mm+diameter+15mm+high+M5" TargetMode="External"/><Relationship Id="rId47" Type="http://schemas.openxmlformats.org/officeDocument/2006/relationships/hyperlink" Target="https://www.aliexpress.com/item/10000401582873.html" TargetMode="External"/><Relationship Id="rId68" Type="http://schemas.openxmlformats.org/officeDocument/2006/relationships/hyperlink" Target="https://www.aliexpress.com/item/1005004590796152.html" TargetMode="External"/><Relationship Id="rId89" Type="http://schemas.openxmlformats.org/officeDocument/2006/relationships/hyperlink" Target="https://www.ebay.co.uk/itm/398302213229?var=666566085742" TargetMode="External"/><Relationship Id="rId112" Type="http://schemas.openxmlformats.org/officeDocument/2006/relationships/hyperlink" Target="https://www.mouser.co.uk/en/ProductDetail/Essentra/36M30MF016?qs=PzGy0jfpSMv9qGPovnFAAw%3D%3D" TargetMode="External"/><Relationship Id="rId133" Type="http://schemas.openxmlformats.org/officeDocument/2006/relationships/hyperlink" Target="https://www.amazon.co.uk/s?k=M2+heat+set+threaded+insert+brass" TargetMode="External"/><Relationship Id="rId154" Type="http://schemas.openxmlformats.org/officeDocument/2006/relationships/hyperlink" Target="https://allfix.co.uk/m5-x-20-socket-countersunk-steel-self-colour-sck0scm050x0020.html" TargetMode="External"/><Relationship Id="rId175" Type="http://schemas.openxmlformats.org/officeDocument/2006/relationships/hyperlink" Target="https://github.com/theworkisthework/terraPen-mechanical-design-files/blob/main/STLs/X_Motor_Top.stl" TargetMode="External"/><Relationship Id="rId196" Type="http://schemas.openxmlformats.org/officeDocument/2006/relationships/hyperlink" Target="https://github.com/theworkisthework/terraPen-mechanical-design-files/blob/main/STLs/Xx_Endstop_Bottom.stl" TargetMode="External"/><Relationship Id="rId200" Type="http://schemas.openxmlformats.org/officeDocument/2006/relationships/hyperlink" Target="https://github.com/theworkisthework/terraPen-mechanical-design-files/blob/main/STLs/skinnyClipMount.stl" TargetMode="External"/><Relationship Id="rId16" Type="http://schemas.openxmlformats.org/officeDocument/2006/relationships/hyperlink" Target="https://www.aliexpress.com/wholesale?SearchText=2020+T+slot+aluminium+extrusion+45mm+cut" TargetMode="External"/><Relationship Id="rId221" Type="http://schemas.openxmlformats.org/officeDocument/2006/relationships/hyperlink" Target="https://www.amazon.co.uk/IWISS-Crimping-0-08-1-0-Ratcheting-Connector/dp/B01N4L8QMW?th=1" TargetMode="External"/><Relationship Id="rId37" Type="http://schemas.openxmlformats.org/officeDocument/2006/relationships/hyperlink" Target="https://www.amazon.co.uk/s?k=MGN9H+linear+rail+540mm+with+carriage" TargetMode="External"/><Relationship Id="rId58" Type="http://schemas.openxmlformats.org/officeDocument/2006/relationships/hyperlink" Target="https://www.aliexpress.com/wholesale?SearchText=GT2+20T+smooth+idler+pulley+5mm+bore+6mm+belt" TargetMode="External"/><Relationship Id="rId79" Type="http://schemas.openxmlformats.org/officeDocument/2006/relationships/hyperlink" Target="https://www.amazon.co.uk/s?k=JST+PH+2.0+4+pin+cable+750mm" TargetMode="External"/><Relationship Id="rId102" Type="http://schemas.openxmlformats.org/officeDocument/2006/relationships/hyperlink" Target="https://www.amazon.co.uk/s?k=JST+SM+connector+kit+male+female+crimp+2.5mm" TargetMode="External"/><Relationship Id="rId123" Type="http://schemas.openxmlformats.org/officeDocument/2006/relationships/hyperlink" Target="https://www.ebay.co.uk/itm/366488071588?var=636217771991" TargetMode="External"/><Relationship Id="rId144" Type="http://schemas.openxmlformats.org/officeDocument/2006/relationships/hyperlink" Target="https://allfix.co.uk/m3-nyloc-nut-type-t-a2-304-stainless-steel-din-985-nunt2scm030.html" TargetMode="External"/><Relationship Id="rId90" Type="http://schemas.openxmlformats.org/officeDocument/2006/relationships/hyperlink" Target="https://www.ebay.co.uk/sch/i.html?_nkw=3+core+26+AWG+PVC+cable+per+metre" TargetMode="External"/><Relationship Id="rId165" Type="http://schemas.openxmlformats.org/officeDocument/2006/relationships/hyperlink" Target="https://www.aliexpress.com/item/10000401582873.html" TargetMode="External"/><Relationship Id="rId186" Type="http://schemas.openxmlformats.org/officeDocument/2006/relationships/hyperlink" Target="https://github.com/theworkisthework/terraPen-mechanical-design-files/blob/main/STLs/Tensioner_Housing.stl" TargetMode="External"/><Relationship Id="rId211" Type="http://schemas.openxmlformats.org/officeDocument/2006/relationships/hyperlink" Target="https://github.com/theworkisthework/terraPen-mechanical-design-files/blob/main/STLs/TPU%20Bungs/4mm%20Aperture%20Bung.stl" TargetMode="External"/><Relationship Id="rId27" Type="http://schemas.openxmlformats.org/officeDocument/2006/relationships/hyperlink" Target="https://www.amazon.co.uk/s?k=rubber+feet+20mm+diameter+15mm+high+M5" TargetMode="External"/><Relationship Id="rId48" Type="http://schemas.openxmlformats.org/officeDocument/2006/relationships/hyperlink" Target="https://www.ebay.co.uk/sch/i.html?_nkw=GT2+timing+belt+6mm+open+3m" TargetMode="External"/><Relationship Id="rId69" Type="http://schemas.openxmlformats.org/officeDocument/2006/relationships/hyperlink" Target="https://terrapen.xyz/products/emerald-dingo-esp32-plotter-controller?variant=64807034749305" TargetMode="External"/><Relationship Id="rId113" Type="http://schemas.openxmlformats.org/officeDocument/2006/relationships/hyperlink" Target="https://www.ebay.co.uk/itm/224610270674" TargetMode="External"/><Relationship Id="rId134" Type="http://schemas.openxmlformats.org/officeDocument/2006/relationships/hyperlink" Target="https://www.aliexpress.com/wholesale?SearchText=M2+heat+set+threaded+insert+brass" TargetMode="External"/><Relationship Id="rId80" Type="http://schemas.openxmlformats.org/officeDocument/2006/relationships/hyperlink" Target="https://www.aliexpress.com/wholesale?SearchText=JST+PH+2.0+4+pin+cable+750mm" TargetMode="External"/><Relationship Id="rId155" Type="http://schemas.openxmlformats.org/officeDocument/2006/relationships/hyperlink" Target="https://allfix.co.uk/m5-x-12-socket-button-head-steel-self-colour-sbn0scm050x0012.html" TargetMode="External"/><Relationship Id="rId176" Type="http://schemas.openxmlformats.org/officeDocument/2006/relationships/hyperlink" Target="https://github.com/theworkisthework/terraPen-mechanical-design-files/blob/main/STLs/X_Motor_Bottom.stl" TargetMode="External"/><Relationship Id="rId197" Type="http://schemas.openxmlformats.org/officeDocument/2006/relationships/hyperlink" Target="https://github.com/theworkisthework/terraPen-mechanical-design-files/blob/main/STLs/Y_Endstop_Mount.stl" TargetMode="External"/><Relationship Id="rId201" Type="http://schemas.openxmlformats.org/officeDocument/2006/relationships/hyperlink" Target="https://github.com/theworkisthework/terraPen-mechanical-design-files/blob/main/STLs/stepper_tool_carriage.stl" TargetMode="External"/><Relationship Id="rId17" Type="http://schemas.openxmlformats.org/officeDocument/2006/relationships/hyperlink" Target="https://www.aliexpress.com/item/1005013477214655.html" TargetMode="External"/><Relationship Id="rId38" Type="http://schemas.openxmlformats.org/officeDocument/2006/relationships/hyperlink" Target="https://www.aliexpress.com/wholesale?SearchText=MGN9H+linear+rail+540mm+with+carriage" TargetMode="External"/><Relationship Id="rId59" Type="http://schemas.openxmlformats.org/officeDocument/2006/relationships/hyperlink" Target="https://www.aliexpress.com/item/32726309946.html" TargetMode="External"/><Relationship Id="rId103" Type="http://schemas.openxmlformats.org/officeDocument/2006/relationships/hyperlink" Target="https://www.aliexpress.com/wholesale?SearchText=JST+SM+connector+kit+male+female+crimp+2.5mm" TargetMode="External"/><Relationship Id="rId124" Type="http://schemas.openxmlformats.org/officeDocument/2006/relationships/hyperlink" Target="https://www.ebay.co.uk/sch/i.html?_nkw=cable+ties+100mm+x+2.5mm" TargetMode="External"/><Relationship Id="rId70" Type="http://schemas.openxmlformats.org/officeDocument/2006/relationships/hyperlink" Target="https://www.amazon.co.uk/dp/B07R2J5CC4" TargetMode="External"/><Relationship Id="rId91" Type="http://schemas.openxmlformats.org/officeDocument/2006/relationships/hyperlink" Target="https://www.amazon.co.uk/s?k=3+core+26+AWG+PVC+cable+per+metre" TargetMode="External"/><Relationship Id="rId145" Type="http://schemas.openxmlformats.org/officeDocument/2006/relationships/hyperlink" Target="https://www.aluminium-profile.co.uk/t-slot-nut-5-st-m3-with-spring-ball-kjn43719/" TargetMode="External"/><Relationship Id="rId166" Type="http://schemas.openxmlformats.org/officeDocument/2006/relationships/hyperlink" Target="https://www.ebay.co.uk/sch/i.html?_nkw=GT2+timing+belt+6mm+open+per+metre" TargetMode="External"/><Relationship Id="rId187" Type="http://schemas.openxmlformats.org/officeDocument/2006/relationships/hyperlink" Target="https://github.com/theworkisthework/terraPen-mechanical-design-files/blob/main/STLs/2xTensioner_bit.stl" TargetMode="External"/><Relationship Id="rId1" Type="http://schemas.openxmlformats.org/officeDocument/2006/relationships/hyperlink" Target="https://www.aluminium-profile.co.uk/black-ir-20x20-profile-ir37015blk/" TargetMode="External"/><Relationship Id="rId212" Type="http://schemas.openxmlformats.org/officeDocument/2006/relationships/hyperlink" Target="https://github.com/theworkisthework/terraPen-mechanical-design-files/blob/main/STLs/TPU%20Bungs/6mm%20Aperture%20Bung.stl" TargetMode="External"/><Relationship Id="rId28" Type="http://schemas.openxmlformats.org/officeDocument/2006/relationships/hyperlink" Target="https://www.aliexpress.com/wholesale?SearchText=rubber+feet+20mm+diameter+15mm+high+M5" TargetMode="External"/><Relationship Id="rId49" Type="http://schemas.openxmlformats.org/officeDocument/2006/relationships/hyperlink" Target="https://www.amazon.co.uk/s?k=GT2+timing+belt+6mm+open+3m" TargetMode="External"/><Relationship Id="rId114" Type="http://schemas.openxmlformats.org/officeDocument/2006/relationships/hyperlink" Target="https://www.ebay.co.uk/itm/377319331207?var=645666841133" TargetMode="External"/><Relationship Id="rId60" Type="http://schemas.openxmlformats.org/officeDocument/2006/relationships/hyperlink" Target="https://www.ebay.co.uk/sch/i.html?_nkw=GT2+20T+toothed+idler+pulley+5mm+bore+6mm+belt+with+bearing" TargetMode="External"/><Relationship Id="rId81" Type="http://schemas.openxmlformats.org/officeDocument/2006/relationships/hyperlink" Target="https://www.ebay.co.uk/sch/i.html?_nkw=JST+PH+2.0+4+pin+cable+500mm" TargetMode="External"/><Relationship Id="rId135" Type="http://schemas.openxmlformats.org/officeDocument/2006/relationships/hyperlink" Target="https://allfix.co.uk/m3-x-5-socket-countersunk-steel-self-colour-sck0scm030x0005.html" TargetMode="External"/><Relationship Id="rId156" Type="http://schemas.openxmlformats.org/officeDocument/2006/relationships/hyperlink" Target="https://allfix.co.uk/m5-x-8-socket-button-head-steel-self-colour-sbn0scm050x0008.html" TargetMode="External"/><Relationship Id="rId177" Type="http://schemas.openxmlformats.org/officeDocument/2006/relationships/hyperlink" Target="https://github.com/theworkisthework/terraPen-mechanical-design-files/blob/main/STLs/Y_Motor_Top.stl" TargetMode="External"/><Relationship Id="rId198" Type="http://schemas.openxmlformats.org/officeDocument/2006/relationships/hyperlink" Target="https://github.com/theworkisthework/terraPen-mechanical-design-files/blob/main/STLs/8xTPU_Bumper.stl" TargetMode="External"/><Relationship Id="rId202" Type="http://schemas.openxmlformats.org/officeDocument/2006/relationships/hyperlink" Target="https://github.com/theworkisthework/terraPen-mechanical-design-files/blob/main/STLs/stepper_pen_mount.stl" TargetMode="External"/><Relationship Id="rId18" Type="http://schemas.openxmlformats.org/officeDocument/2006/relationships/hyperlink" Target="https://www.ebay.co.uk/sch/i.html?_nkw=2020+3+way+corner+cube+connector+aluminium+profile" TargetMode="External"/><Relationship Id="rId39" Type="http://schemas.openxmlformats.org/officeDocument/2006/relationships/hyperlink" Target="https://www.jugetek.com/product-page/black-anodized-linear-rail-mgn7-mgn9-mgn12-mgn15?variantId=e3079c50-bfe9-46c3-bc79-164a8e385585" TargetMode="External"/><Relationship Id="rId50" Type="http://schemas.openxmlformats.org/officeDocument/2006/relationships/hyperlink" Target="https://www.aliexpress.com/wholesale?SearchText=GT2+timing+belt+6mm+open+3m" TargetMode="External"/><Relationship Id="rId104" Type="http://schemas.openxmlformats.org/officeDocument/2006/relationships/hyperlink" Target="https://ooznest.co.uk/product/optical-endstop/" TargetMode="External"/><Relationship Id="rId125" Type="http://schemas.openxmlformats.org/officeDocument/2006/relationships/hyperlink" Target="https://www.amazon.co.uk/s?k=cable+ties+100mm+x+2.5mm" TargetMode="External"/><Relationship Id="rId146" Type="http://schemas.openxmlformats.org/officeDocument/2006/relationships/hyperlink" Target="https://www.ebay.co.uk/sch/i.html?_nkw=M3+drop+in+T+nut+2020+profile" TargetMode="External"/><Relationship Id="rId167" Type="http://schemas.openxmlformats.org/officeDocument/2006/relationships/hyperlink" Target="https://www.amazon.co.uk/s?k=GT2+timing+belt+6mm+open+per+metre" TargetMode="External"/><Relationship Id="rId188" Type="http://schemas.openxmlformats.org/officeDocument/2006/relationships/hyperlink" Target="https://github.com/theworkisthework/terraPen-mechanical-design-files/blob/main/STLs/Pen_Holder_Front.stl" TargetMode="External"/><Relationship Id="rId71" Type="http://schemas.openxmlformats.org/officeDocument/2006/relationships/hyperlink" Target="https://www.ebay.co.uk/sch/i.html?_nkw=microSD+card+8GB+SanDisk" TargetMode="External"/><Relationship Id="rId92" Type="http://schemas.openxmlformats.org/officeDocument/2006/relationships/hyperlink" Target="https://www.aliexpress.com/wholesale?SearchText=3+core+26+AWG+PVC+cable+per+metre" TargetMode="External"/><Relationship Id="rId213" Type="http://schemas.openxmlformats.org/officeDocument/2006/relationships/hyperlink" Target="https://github.com/theworkisthework/terraPen-mechanical-design-files/blob/main/STLs/TPU%20Bungs/8mm%20Tapered%20Bung.stl" TargetMode="External"/><Relationship Id="rId2" Type="http://schemas.openxmlformats.org/officeDocument/2006/relationships/hyperlink" Target="https://www.ebay.co.uk/sch/i.html?_nkw=2020+T+slot+aluminium+extrusion+760mm+cut+to+length" TargetMode="External"/><Relationship Id="rId29" Type="http://schemas.openxmlformats.org/officeDocument/2006/relationships/hyperlink" Target="https://github.com/theworkisthework/terraPen-mechanical-design-files/blob/main/metal%20bed/tP_Bed_Profile_Revised.dxf" TargetMode="External"/><Relationship Id="rId40" Type="http://schemas.openxmlformats.org/officeDocument/2006/relationships/hyperlink" Target="https://www.ebay.co.uk/sch/i.html?_nkw=MGN9H+linear+rail+710mm+with+carriage" TargetMode="External"/><Relationship Id="rId115" Type="http://schemas.openxmlformats.org/officeDocument/2006/relationships/hyperlink" Target="https://www.ebay.co.uk/itm/398214541037" TargetMode="External"/><Relationship Id="rId136" Type="http://schemas.openxmlformats.org/officeDocument/2006/relationships/hyperlink" Target="https://allfix.co.uk/m3-x-6-socket-countersunk-steel-self-colour-sck0scm030x0006.html" TargetMode="External"/><Relationship Id="rId157" Type="http://schemas.openxmlformats.org/officeDocument/2006/relationships/hyperlink" Target="https://www.aluminium-profile.co.uk/t-slot-nut-5-st-m3-with-spring-ball-pk-10-kjn37001/" TargetMode="External"/><Relationship Id="rId178" Type="http://schemas.openxmlformats.org/officeDocument/2006/relationships/hyperlink" Target="https://github.com/theworkisthework/terraPen-mechanical-design-files/blob/main/STLs/Y_Motor_Bottom.stl" TargetMode="External"/><Relationship Id="rId61" Type="http://schemas.openxmlformats.org/officeDocument/2006/relationships/hyperlink" Target="https://www.amazon.co.uk/s?k=GT2+20T+toothed+idler+pulley+5mm+bore+6mm+belt+with+bearing" TargetMode="External"/><Relationship Id="rId82" Type="http://schemas.openxmlformats.org/officeDocument/2006/relationships/hyperlink" Target="https://www.amazon.co.uk/s?k=JST+PH+2.0+4+pin+cable+500mm" TargetMode="External"/><Relationship Id="rId199" Type="http://schemas.openxmlformats.org/officeDocument/2006/relationships/hyperlink" Target="https://github.com/theworkisthework/terraPen-mechanical-design-files/blob/main/STLs/Cable%20Cap%20for%20Extrusion.stl" TargetMode="External"/><Relationship Id="rId203" Type="http://schemas.openxmlformats.org/officeDocument/2006/relationships/hyperlink" Target="https://github.com/theworkisthework/terraPen-mechanical-design-files/blob/main/STLs/stepper_pen_mount_clamp.stl" TargetMode="External"/><Relationship Id="rId19" Type="http://schemas.openxmlformats.org/officeDocument/2006/relationships/hyperlink" Target="https://www.amazon.co.uk/s?k=2020+3+way+corner+cube+connector+aluminium+profile" TargetMode="External"/><Relationship Id="rId30" Type="http://schemas.openxmlformats.org/officeDocument/2006/relationships/hyperlink" Target="https://www.aluminium-profile.co.uk/cover-reduction-profile-kjn37080/" TargetMode="External"/><Relationship Id="rId105" Type="http://schemas.openxmlformats.org/officeDocument/2006/relationships/hyperlink" Target="https://www.ebay.co.uk/sch/i.html?_nkw=optical+endstop+switch+module+3D+printer" TargetMode="External"/><Relationship Id="rId126" Type="http://schemas.openxmlformats.org/officeDocument/2006/relationships/hyperlink" Target="https://www.aliexpress.com/wholesale?SearchText=cable+ties+100mm+x+2.5mm" TargetMode="External"/><Relationship Id="rId147" Type="http://schemas.openxmlformats.org/officeDocument/2006/relationships/hyperlink" Target="https://www.amazon.co.uk/s?k=M3+drop+in+T+nut+2020+profile" TargetMode="External"/><Relationship Id="rId168" Type="http://schemas.openxmlformats.org/officeDocument/2006/relationships/hyperlink" Target="https://www.aliexpress.com/wholesale?SearchText=GT2+timing+belt+6mm+open+per+met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42"/>
  <sheetViews>
    <sheetView showGridLines="0" workbookViewId="0">
      <pane xSplit="2" ySplit="5" topLeftCell="C6" activePane="bottomRight" state="frozen"/>
      <selection pane="topRight"/>
      <selection pane="bottomLeft"/>
      <selection pane="bottomRight"/>
    </sheetView>
  </sheetViews>
  <sheetFormatPr defaultRowHeight="14.25" x14ac:dyDescent="0.45"/>
  <cols>
    <col min="1" max="1" width="8" customWidth="1"/>
    <col min="2" max="2" width="28" customWidth="1"/>
    <col min="3" max="3" width="30" customWidth="1"/>
    <col min="4" max="4" width="6" customWidth="1"/>
    <col min="5" max="5" width="26" customWidth="1"/>
    <col min="6" max="6" width="22" customWidth="1"/>
    <col min="7" max="7" width="11" customWidth="1"/>
    <col min="8" max="8" width="8" customWidth="1"/>
    <col min="9" max="9" width="9" customWidth="1"/>
    <col min="10" max="10" width="11" customWidth="1"/>
    <col min="11" max="16" width="8.3984375" customWidth="1"/>
  </cols>
  <sheetData>
    <row r="1" spans="1:10" ht="20.65" x14ac:dyDescent="0.6">
      <c r="A1" s="1" t="s">
        <v>0</v>
      </c>
    </row>
    <row r="2" spans="1:10" ht="26" customHeight="1" x14ac:dyDescent="0.45">
      <c r="A2" s="21" t="s">
        <v>1</v>
      </c>
      <c r="B2" s="22"/>
      <c r="C2" s="22"/>
      <c r="D2" s="22"/>
      <c r="E2" s="22"/>
      <c r="F2" s="22"/>
      <c r="G2" s="22"/>
      <c r="H2" s="22"/>
      <c r="I2" s="22"/>
      <c r="J2" s="22"/>
    </row>
    <row r="3" spans="1:10" x14ac:dyDescent="0.45">
      <c r="A3" s="2" t="s">
        <v>2</v>
      </c>
      <c r="B3" s="12" t="s">
        <v>3</v>
      </c>
      <c r="C3" s="13" t="s">
        <v>4</v>
      </c>
      <c r="D3" s="14"/>
      <c r="E3" s="15" t="s">
        <v>5</v>
      </c>
      <c r="F3" s="16" t="s">
        <v>6</v>
      </c>
      <c r="G3" s="14"/>
      <c r="H3" s="14"/>
    </row>
    <row r="5" spans="1:10" ht="30" customHeight="1" x14ac:dyDescent="0.45">
      <c r="A5" s="3" t="s">
        <v>7</v>
      </c>
      <c r="B5" s="4" t="s">
        <v>8</v>
      </c>
      <c r="C5" s="4" t="s">
        <v>9</v>
      </c>
      <c r="D5" s="3" t="s">
        <v>10</v>
      </c>
      <c r="E5" s="4" t="s">
        <v>11</v>
      </c>
      <c r="F5" s="4" t="s">
        <v>12</v>
      </c>
      <c r="G5" s="3" t="s">
        <v>13</v>
      </c>
      <c r="H5" s="3" t="s">
        <v>14</v>
      </c>
      <c r="I5" s="3" t="s">
        <v>15</v>
      </c>
      <c r="J5" s="3" t="s">
        <v>16</v>
      </c>
    </row>
    <row r="6" spans="1:10" ht="20" customHeight="1" x14ac:dyDescent="0.45">
      <c r="A6" s="5" t="s">
        <v>17</v>
      </c>
      <c r="B6" s="5"/>
      <c r="C6" s="5"/>
      <c r="D6" s="5"/>
      <c r="E6" s="5"/>
      <c r="F6" s="5"/>
      <c r="G6" s="5"/>
      <c r="H6" s="5"/>
      <c r="I6" s="5"/>
      <c r="J6" s="5"/>
    </row>
    <row r="7" spans="1:10" ht="25.5" x14ac:dyDescent="0.45">
      <c r="A7" s="6" t="s">
        <v>18</v>
      </c>
      <c r="B7" s="7" t="s">
        <v>19</v>
      </c>
      <c r="C7" s="7" t="s">
        <v>20</v>
      </c>
      <c r="D7" s="6">
        <v>4</v>
      </c>
      <c r="E7" s="7" t="s">
        <v>21</v>
      </c>
      <c r="F7" s="7" t="s">
        <v>22</v>
      </c>
      <c r="G7" s="8" t="s">
        <v>23</v>
      </c>
      <c r="H7" s="8" t="s">
        <v>24</v>
      </c>
      <c r="I7" s="8" t="s">
        <v>25</v>
      </c>
      <c r="J7" s="8" t="s">
        <v>16</v>
      </c>
    </row>
    <row r="8" spans="1:10" ht="25.5" x14ac:dyDescent="0.45">
      <c r="A8" s="6" t="s">
        <v>26</v>
      </c>
      <c r="B8" s="7" t="s">
        <v>19</v>
      </c>
      <c r="C8" s="7" t="s">
        <v>27</v>
      </c>
      <c r="D8" s="6">
        <v>4</v>
      </c>
      <c r="E8" s="7" t="s">
        <v>28</v>
      </c>
      <c r="F8" s="7" t="s">
        <v>22</v>
      </c>
      <c r="G8" s="8" t="s">
        <v>23</v>
      </c>
      <c r="H8" s="8" t="s">
        <v>24</v>
      </c>
      <c r="I8" s="8" t="s">
        <v>25</v>
      </c>
      <c r="J8" s="8" t="s">
        <v>16</v>
      </c>
    </row>
    <row r="9" spans="1:10" ht="25.5" x14ac:dyDescent="0.45">
      <c r="A9" s="6" t="s">
        <v>29</v>
      </c>
      <c r="B9" s="7" t="s">
        <v>19</v>
      </c>
      <c r="C9" s="7" t="s">
        <v>30</v>
      </c>
      <c r="D9" s="6">
        <v>1</v>
      </c>
      <c r="E9" s="7" t="s">
        <v>31</v>
      </c>
      <c r="F9" s="7" t="s">
        <v>22</v>
      </c>
      <c r="G9" s="8" t="s">
        <v>23</v>
      </c>
      <c r="H9" s="8" t="s">
        <v>24</v>
      </c>
      <c r="I9" s="8" t="s">
        <v>25</v>
      </c>
      <c r="J9" s="8" t="s">
        <v>16</v>
      </c>
    </row>
    <row r="10" spans="1:10" ht="25.5" x14ac:dyDescent="0.45">
      <c r="A10" s="6" t="s">
        <v>32</v>
      </c>
      <c r="B10" s="7" t="s">
        <v>19</v>
      </c>
      <c r="C10" s="7" t="s">
        <v>33</v>
      </c>
      <c r="D10" s="9">
        <v>4</v>
      </c>
      <c r="E10" s="7" t="s">
        <v>34</v>
      </c>
      <c r="F10" s="7" t="s">
        <v>22</v>
      </c>
      <c r="G10" s="8" t="s">
        <v>23</v>
      </c>
      <c r="H10" s="8" t="s">
        <v>24</v>
      </c>
      <c r="I10" s="8" t="s">
        <v>25</v>
      </c>
      <c r="J10" s="8" t="s">
        <v>16</v>
      </c>
    </row>
    <row r="11" spans="1:10" ht="25.5" x14ac:dyDescent="0.45">
      <c r="A11" s="6" t="s">
        <v>35</v>
      </c>
      <c r="B11" s="7" t="s">
        <v>36</v>
      </c>
      <c r="C11" s="7" t="s">
        <v>37</v>
      </c>
      <c r="D11" s="6">
        <v>8</v>
      </c>
      <c r="E11" s="7" t="s">
        <v>38</v>
      </c>
      <c r="F11" s="7" t="s">
        <v>39</v>
      </c>
      <c r="G11" s="8" t="s">
        <v>23</v>
      </c>
      <c r="H11" s="8" t="s">
        <v>24</v>
      </c>
      <c r="I11" s="8" t="s">
        <v>25</v>
      </c>
      <c r="J11" s="8" t="s">
        <v>16</v>
      </c>
    </row>
    <row r="12" spans="1:10" ht="25.5" x14ac:dyDescent="0.45">
      <c r="A12" s="6" t="s">
        <v>40</v>
      </c>
      <c r="B12" s="7" t="s">
        <v>41</v>
      </c>
      <c r="C12" s="7" t="s">
        <v>42</v>
      </c>
      <c r="D12" s="9">
        <v>2</v>
      </c>
      <c r="E12" s="7" t="s">
        <v>43</v>
      </c>
      <c r="F12" s="7" t="s">
        <v>44</v>
      </c>
      <c r="G12" s="8" t="s">
        <v>23</v>
      </c>
      <c r="H12" s="8" t="s">
        <v>24</v>
      </c>
      <c r="I12" s="8" t="s">
        <v>25</v>
      </c>
      <c r="J12" s="8" t="s">
        <v>16</v>
      </c>
    </row>
    <row r="13" spans="1:10" ht="38.25" x14ac:dyDescent="0.45">
      <c r="A13" s="6" t="s">
        <v>45</v>
      </c>
      <c r="B13" s="7" t="s">
        <v>46</v>
      </c>
      <c r="C13" s="7" t="s">
        <v>47</v>
      </c>
      <c r="D13" s="6">
        <v>4</v>
      </c>
      <c r="E13" s="7" t="s">
        <v>48</v>
      </c>
      <c r="F13" s="7" t="s">
        <v>49</v>
      </c>
      <c r="G13" s="8" t="s">
        <v>23</v>
      </c>
      <c r="H13" s="8" t="s">
        <v>24</v>
      </c>
      <c r="I13" s="8" t="s">
        <v>25</v>
      </c>
      <c r="J13" s="8" t="s">
        <v>16</v>
      </c>
    </row>
    <row r="14" spans="1:10" ht="63.75" x14ac:dyDescent="0.45">
      <c r="A14" s="6" t="s">
        <v>50</v>
      </c>
      <c r="B14" s="7" t="s">
        <v>51</v>
      </c>
      <c r="C14" s="7" t="s">
        <v>52</v>
      </c>
      <c r="D14" s="9">
        <v>1</v>
      </c>
      <c r="E14" s="7" t="s">
        <v>53</v>
      </c>
      <c r="F14" s="7" t="s">
        <v>54</v>
      </c>
      <c r="G14" s="8" t="s">
        <v>55</v>
      </c>
      <c r="H14" s="6" t="s">
        <v>56</v>
      </c>
      <c r="I14" s="6" t="s">
        <v>56</v>
      </c>
      <c r="J14" s="6" t="s">
        <v>56</v>
      </c>
    </row>
    <row r="15" spans="1:10" ht="20" customHeight="1" x14ac:dyDescent="0.45">
      <c r="A15" s="6" t="s">
        <v>57</v>
      </c>
      <c r="B15" s="7" t="s">
        <v>58</v>
      </c>
      <c r="C15" s="7" t="s">
        <v>59</v>
      </c>
      <c r="D15" s="9">
        <v>3</v>
      </c>
      <c r="E15" s="7" t="s">
        <v>60</v>
      </c>
      <c r="F15" s="7" t="s">
        <v>61</v>
      </c>
      <c r="G15" s="8" t="s">
        <v>23</v>
      </c>
      <c r="H15" s="6"/>
      <c r="I15" s="6"/>
      <c r="J15" s="6"/>
    </row>
    <row r="16" spans="1:10" ht="20" customHeight="1" x14ac:dyDescent="0.45">
      <c r="A16" s="6" t="s">
        <v>62</v>
      </c>
      <c r="B16" s="7" t="s">
        <v>63</v>
      </c>
      <c r="C16" s="7" t="s">
        <v>64</v>
      </c>
      <c r="D16" s="9">
        <v>12</v>
      </c>
      <c r="E16" s="7" t="s">
        <v>65</v>
      </c>
      <c r="F16" s="7" t="s">
        <v>66</v>
      </c>
      <c r="G16" s="8" t="s">
        <v>23</v>
      </c>
      <c r="H16" s="6"/>
      <c r="I16" s="6"/>
      <c r="J16" s="6"/>
    </row>
    <row r="17" spans="1:10" ht="20" customHeight="1" x14ac:dyDescent="0.45">
      <c r="A17" s="6" t="s">
        <v>67</v>
      </c>
      <c r="B17" s="7" t="s">
        <v>68</v>
      </c>
      <c r="C17" s="7" t="s">
        <v>69</v>
      </c>
      <c r="D17" s="9">
        <v>8</v>
      </c>
      <c r="E17" s="7" t="s">
        <v>70</v>
      </c>
      <c r="F17" s="7" t="s">
        <v>71</v>
      </c>
      <c r="G17" s="8" t="s">
        <v>23</v>
      </c>
      <c r="H17" s="6"/>
      <c r="I17" s="6"/>
      <c r="J17" s="6"/>
    </row>
    <row r="18" spans="1:10" ht="20" customHeight="1" x14ac:dyDescent="0.45">
      <c r="A18" s="6" t="s">
        <v>72</v>
      </c>
      <c r="B18" s="7" t="s">
        <v>73</v>
      </c>
      <c r="C18" s="7" t="s">
        <v>74</v>
      </c>
      <c r="D18" s="9">
        <v>4</v>
      </c>
      <c r="E18" s="7" t="s">
        <v>75</v>
      </c>
      <c r="F18" s="7" t="s">
        <v>71</v>
      </c>
      <c r="G18" s="8" t="s">
        <v>23</v>
      </c>
      <c r="H18" s="6"/>
      <c r="I18" s="6"/>
      <c r="J18" s="6"/>
    </row>
    <row r="19" spans="1:10" ht="20" customHeight="1" x14ac:dyDescent="0.45">
      <c r="A19" s="6" t="s">
        <v>76</v>
      </c>
      <c r="B19" s="7" t="s">
        <v>77</v>
      </c>
      <c r="C19" s="7" t="s">
        <v>78</v>
      </c>
      <c r="D19" s="9">
        <v>4</v>
      </c>
      <c r="E19" s="7" t="s">
        <v>79</v>
      </c>
      <c r="F19" s="7" t="s">
        <v>80</v>
      </c>
      <c r="G19" s="8" t="s">
        <v>23</v>
      </c>
      <c r="H19" s="6"/>
      <c r="I19" s="6"/>
      <c r="J19" s="6"/>
    </row>
    <row r="20" spans="1:10" ht="20" customHeight="1" x14ac:dyDescent="0.45">
      <c r="A20" s="5" t="s">
        <v>81</v>
      </c>
      <c r="B20" s="5"/>
      <c r="C20" s="5"/>
      <c r="D20" s="5"/>
      <c r="E20" s="5"/>
      <c r="F20" s="5"/>
      <c r="G20" s="5"/>
      <c r="H20" s="5"/>
      <c r="I20" s="5"/>
      <c r="J20" s="5"/>
    </row>
    <row r="21" spans="1:10" x14ac:dyDescent="0.45">
      <c r="A21" s="6" t="s">
        <v>82</v>
      </c>
      <c r="B21" s="7" t="s">
        <v>83</v>
      </c>
      <c r="C21" s="7" t="s">
        <v>84</v>
      </c>
      <c r="D21" s="6">
        <v>2</v>
      </c>
      <c r="E21" s="7" t="s">
        <v>85</v>
      </c>
      <c r="F21" s="7" t="s">
        <v>86</v>
      </c>
      <c r="G21" s="8" t="s">
        <v>23</v>
      </c>
      <c r="H21" s="8" t="s">
        <v>24</v>
      </c>
      <c r="I21" s="8" t="s">
        <v>25</v>
      </c>
      <c r="J21" s="8" t="s">
        <v>16</v>
      </c>
    </row>
    <row r="22" spans="1:10" x14ac:dyDescent="0.45">
      <c r="A22" s="6" t="s">
        <v>87</v>
      </c>
      <c r="B22" s="7" t="s">
        <v>83</v>
      </c>
      <c r="C22" s="7" t="s">
        <v>88</v>
      </c>
      <c r="D22" s="9">
        <v>1</v>
      </c>
      <c r="E22" s="7" t="s">
        <v>89</v>
      </c>
      <c r="F22" s="7" t="s">
        <v>86</v>
      </c>
      <c r="G22" s="8" t="s">
        <v>23</v>
      </c>
      <c r="H22" s="8" t="s">
        <v>24</v>
      </c>
      <c r="I22" s="8" t="s">
        <v>25</v>
      </c>
      <c r="J22" s="8" t="s">
        <v>16</v>
      </c>
    </row>
    <row r="23" spans="1:10" x14ac:dyDescent="0.45">
      <c r="A23" s="6" t="s">
        <v>90</v>
      </c>
      <c r="B23" s="7" t="s">
        <v>91</v>
      </c>
      <c r="C23" s="7" t="s">
        <v>92</v>
      </c>
      <c r="D23" s="9">
        <v>1</v>
      </c>
      <c r="E23" s="7" t="s">
        <v>93</v>
      </c>
      <c r="F23" s="7" t="s">
        <v>86</v>
      </c>
      <c r="G23" s="8" t="s">
        <v>23</v>
      </c>
      <c r="H23" s="8" t="s">
        <v>24</v>
      </c>
      <c r="I23" s="8" t="s">
        <v>25</v>
      </c>
      <c r="J23" s="8" t="s">
        <v>16</v>
      </c>
    </row>
    <row r="24" spans="1:10" ht="20" customHeight="1" x14ac:dyDescent="0.45">
      <c r="A24" s="5" t="s">
        <v>94</v>
      </c>
      <c r="B24" s="5"/>
      <c r="C24" s="5"/>
      <c r="D24" s="5"/>
      <c r="E24" s="5"/>
      <c r="F24" s="5"/>
      <c r="G24" s="5"/>
      <c r="H24" s="5"/>
      <c r="I24" s="5"/>
      <c r="J24" s="5"/>
    </row>
    <row r="25" spans="1:10" ht="38.25" x14ac:dyDescent="0.45">
      <c r="A25" s="6" t="s">
        <v>95</v>
      </c>
      <c r="B25" s="7" t="s">
        <v>96</v>
      </c>
      <c r="C25" s="7" t="s">
        <v>97</v>
      </c>
      <c r="D25" s="6">
        <v>4.2</v>
      </c>
      <c r="E25" s="7" t="s">
        <v>98</v>
      </c>
      <c r="F25" s="7" t="s">
        <v>99</v>
      </c>
      <c r="G25" s="8" t="s">
        <v>23</v>
      </c>
      <c r="H25" s="8" t="s">
        <v>24</v>
      </c>
      <c r="I25" s="8" t="s">
        <v>25</v>
      </c>
      <c r="J25" s="8" t="s">
        <v>16</v>
      </c>
    </row>
    <row r="26" spans="1:10" ht="25.5" x14ac:dyDescent="0.45">
      <c r="A26" s="6" t="s">
        <v>100</v>
      </c>
      <c r="B26" s="7" t="s">
        <v>101</v>
      </c>
      <c r="C26" s="7" t="s">
        <v>102</v>
      </c>
      <c r="D26" s="6">
        <v>2</v>
      </c>
      <c r="E26" s="7" t="s">
        <v>103</v>
      </c>
      <c r="F26" s="7" t="s">
        <v>44</v>
      </c>
      <c r="G26" s="8" t="s">
        <v>23</v>
      </c>
      <c r="H26" s="8" t="s">
        <v>24</v>
      </c>
      <c r="I26" s="8" t="s">
        <v>25</v>
      </c>
      <c r="J26" s="8" t="s">
        <v>16</v>
      </c>
    </row>
    <row r="27" spans="1:10" ht="25.5" x14ac:dyDescent="0.45">
      <c r="A27" s="6" t="s">
        <v>104</v>
      </c>
      <c r="B27" s="7" t="s">
        <v>105</v>
      </c>
      <c r="C27" s="7" t="s">
        <v>106</v>
      </c>
      <c r="D27" s="6">
        <v>4</v>
      </c>
      <c r="E27" s="7" t="s">
        <v>107</v>
      </c>
      <c r="F27" s="7" t="s">
        <v>108</v>
      </c>
      <c r="G27" s="8" t="s">
        <v>23</v>
      </c>
      <c r="H27" s="8" t="s">
        <v>24</v>
      </c>
      <c r="I27" s="8" t="s">
        <v>25</v>
      </c>
      <c r="J27" s="8" t="s">
        <v>16</v>
      </c>
    </row>
    <row r="28" spans="1:10" ht="25.5" x14ac:dyDescent="0.45">
      <c r="A28" s="6" t="s">
        <v>109</v>
      </c>
      <c r="B28" s="7" t="s">
        <v>110</v>
      </c>
      <c r="C28" s="7" t="s">
        <v>111</v>
      </c>
      <c r="D28" s="6">
        <v>8</v>
      </c>
      <c r="E28" s="7" t="s">
        <v>107</v>
      </c>
      <c r="F28" s="7" t="s">
        <v>44</v>
      </c>
      <c r="G28" s="8" t="s">
        <v>23</v>
      </c>
      <c r="H28" s="8" t="s">
        <v>24</v>
      </c>
      <c r="I28" s="8" t="s">
        <v>25</v>
      </c>
      <c r="J28" s="8" t="s">
        <v>16</v>
      </c>
    </row>
    <row r="29" spans="1:10" ht="51" x14ac:dyDescent="0.45">
      <c r="A29" s="6" t="s">
        <v>112</v>
      </c>
      <c r="B29" s="7" t="s">
        <v>113</v>
      </c>
      <c r="C29" s="7" t="s">
        <v>114</v>
      </c>
      <c r="D29" s="9">
        <v>2</v>
      </c>
      <c r="E29" s="7" t="s">
        <v>103</v>
      </c>
      <c r="F29" s="7" t="s">
        <v>115</v>
      </c>
      <c r="G29" s="8" t="s">
        <v>23</v>
      </c>
      <c r="H29" s="8" t="s">
        <v>24</v>
      </c>
      <c r="I29" s="8" t="s">
        <v>25</v>
      </c>
      <c r="J29" s="8" t="s">
        <v>16</v>
      </c>
    </row>
    <row r="30" spans="1:10" ht="20" customHeight="1" x14ac:dyDescent="0.45">
      <c r="A30" s="5" t="s">
        <v>116</v>
      </c>
      <c r="B30" s="5"/>
      <c r="C30" s="5"/>
      <c r="D30" s="5"/>
      <c r="E30" s="5"/>
      <c r="F30" s="5"/>
      <c r="G30" s="5"/>
      <c r="H30" s="5"/>
      <c r="I30" s="5"/>
      <c r="J30" s="5"/>
    </row>
    <row r="31" spans="1:10" ht="25.5" x14ac:dyDescent="0.45">
      <c r="A31" s="6" t="s">
        <v>117</v>
      </c>
      <c r="B31" s="7" t="s">
        <v>118</v>
      </c>
      <c r="C31" s="7" t="s">
        <v>119</v>
      </c>
      <c r="D31" s="6">
        <v>1</v>
      </c>
      <c r="E31" s="7" t="s">
        <v>120</v>
      </c>
      <c r="F31" s="7" t="s">
        <v>121</v>
      </c>
      <c r="G31" s="8" t="s">
        <v>23</v>
      </c>
      <c r="H31" s="6" t="s">
        <v>56</v>
      </c>
      <c r="I31" s="6" t="s">
        <v>56</v>
      </c>
      <c r="J31" s="6" t="s">
        <v>56</v>
      </c>
    </row>
    <row r="32" spans="1:10" ht="25.5" x14ac:dyDescent="0.45">
      <c r="A32" s="6" t="s">
        <v>122</v>
      </c>
      <c r="B32" s="7" t="s">
        <v>123</v>
      </c>
      <c r="C32" s="7" t="s">
        <v>124</v>
      </c>
      <c r="D32" s="9">
        <v>3</v>
      </c>
      <c r="E32" s="7" t="s">
        <v>125</v>
      </c>
      <c r="F32" s="7" t="s">
        <v>16</v>
      </c>
      <c r="G32" s="8" t="s">
        <v>23</v>
      </c>
      <c r="H32" s="6" t="s">
        <v>56</v>
      </c>
      <c r="I32" s="6" t="s">
        <v>56</v>
      </c>
      <c r="J32" s="6" t="s">
        <v>56</v>
      </c>
    </row>
    <row r="33" spans="1:10" ht="25.5" x14ac:dyDescent="0.45">
      <c r="A33" s="6" t="s">
        <v>126</v>
      </c>
      <c r="B33" s="7" t="s">
        <v>127</v>
      </c>
      <c r="C33" s="7" t="s">
        <v>128</v>
      </c>
      <c r="D33" s="9">
        <v>1</v>
      </c>
      <c r="E33" s="7" t="s">
        <v>125</v>
      </c>
      <c r="F33" s="7" t="s">
        <v>121</v>
      </c>
      <c r="G33" s="8" t="s">
        <v>23</v>
      </c>
      <c r="H33" s="6" t="s">
        <v>56</v>
      </c>
      <c r="I33" s="6" t="s">
        <v>56</v>
      </c>
      <c r="J33" s="6" t="s">
        <v>56</v>
      </c>
    </row>
    <row r="34" spans="1:10" ht="20" customHeight="1" x14ac:dyDescent="0.45">
      <c r="A34" s="6" t="s">
        <v>129</v>
      </c>
      <c r="B34" s="7" t="s">
        <v>130</v>
      </c>
      <c r="C34" s="7" t="s">
        <v>131</v>
      </c>
      <c r="D34" s="6">
        <v>1</v>
      </c>
      <c r="E34" s="7" t="s">
        <v>125</v>
      </c>
      <c r="F34" s="7" t="s">
        <v>132</v>
      </c>
      <c r="G34" s="8" t="s">
        <v>23</v>
      </c>
      <c r="H34" s="8" t="s">
        <v>24</v>
      </c>
      <c r="I34" s="8" t="s">
        <v>25</v>
      </c>
      <c r="J34" s="8" t="s">
        <v>16</v>
      </c>
    </row>
    <row r="35" spans="1:10" ht="51" x14ac:dyDescent="0.45">
      <c r="A35" s="6" t="s">
        <v>133</v>
      </c>
      <c r="B35" s="7" t="s">
        <v>134</v>
      </c>
      <c r="C35" s="7" t="s">
        <v>135</v>
      </c>
      <c r="D35" s="9">
        <v>1</v>
      </c>
      <c r="E35" s="7" t="s">
        <v>136</v>
      </c>
      <c r="F35" s="7" t="s">
        <v>137</v>
      </c>
      <c r="G35" s="8" t="s">
        <v>23</v>
      </c>
      <c r="H35" s="8" t="s">
        <v>24</v>
      </c>
      <c r="I35" s="8" t="s">
        <v>25</v>
      </c>
      <c r="J35" s="8" t="s">
        <v>16</v>
      </c>
    </row>
    <row r="36" spans="1:10" ht="38.25" x14ac:dyDescent="0.45">
      <c r="A36" s="6" t="s">
        <v>138</v>
      </c>
      <c r="B36" s="7" t="s">
        <v>139</v>
      </c>
      <c r="C36" s="7" t="s">
        <v>140</v>
      </c>
      <c r="D36" s="6">
        <v>1</v>
      </c>
      <c r="E36" s="7" t="s">
        <v>141</v>
      </c>
      <c r="F36" s="7"/>
      <c r="G36" s="6" t="s">
        <v>56</v>
      </c>
      <c r="H36" s="8" t="s">
        <v>24</v>
      </c>
      <c r="I36" s="8" t="s">
        <v>25</v>
      </c>
      <c r="J36" s="8" t="s">
        <v>16</v>
      </c>
    </row>
    <row r="37" spans="1:10" ht="38.25" x14ac:dyDescent="0.45">
      <c r="A37" s="6" t="s">
        <v>142</v>
      </c>
      <c r="B37" s="7" t="s">
        <v>139</v>
      </c>
      <c r="C37" s="7" t="s">
        <v>143</v>
      </c>
      <c r="D37" s="6">
        <v>1</v>
      </c>
      <c r="E37" s="7" t="s">
        <v>144</v>
      </c>
      <c r="F37" s="7"/>
      <c r="G37" s="6" t="s">
        <v>56</v>
      </c>
      <c r="H37" s="8" t="s">
        <v>24</v>
      </c>
      <c r="I37" s="8" t="s">
        <v>25</v>
      </c>
      <c r="J37" s="8" t="s">
        <v>16</v>
      </c>
    </row>
    <row r="38" spans="1:10" ht="63.75" x14ac:dyDescent="0.45">
      <c r="A38" s="6" t="s">
        <v>145</v>
      </c>
      <c r="B38" s="7" t="s">
        <v>146</v>
      </c>
      <c r="C38" s="7" t="s">
        <v>147</v>
      </c>
      <c r="D38" s="9">
        <v>15</v>
      </c>
      <c r="E38" s="7" t="s">
        <v>148</v>
      </c>
      <c r="F38" s="7" t="s">
        <v>149</v>
      </c>
      <c r="G38" s="8" t="s">
        <v>23</v>
      </c>
      <c r="H38" s="6" t="s">
        <v>56</v>
      </c>
      <c r="I38" s="6" t="s">
        <v>56</v>
      </c>
      <c r="J38" s="6" t="s">
        <v>56</v>
      </c>
    </row>
    <row r="39" spans="1:10" ht="20" customHeight="1" x14ac:dyDescent="0.45">
      <c r="A39" s="6" t="s">
        <v>150</v>
      </c>
      <c r="B39" s="7" t="s">
        <v>151</v>
      </c>
      <c r="C39" s="7" t="s">
        <v>152</v>
      </c>
      <c r="D39" s="9">
        <v>1.5</v>
      </c>
      <c r="E39" s="7" t="s">
        <v>153</v>
      </c>
      <c r="F39" s="7" t="s">
        <v>154</v>
      </c>
      <c r="G39" s="8" t="s">
        <v>23</v>
      </c>
      <c r="H39" s="8" t="s">
        <v>24</v>
      </c>
      <c r="I39" s="8" t="s">
        <v>25</v>
      </c>
      <c r="J39" s="8" t="s">
        <v>16</v>
      </c>
    </row>
    <row r="40" spans="1:10" ht="38.25" x14ac:dyDescent="0.45">
      <c r="A40" s="6" t="s">
        <v>155</v>
      </c>
      <c r="B40" s="7" t="s">
        <v>156</v>
      </c>
      <c r="C40" s="7" t="s">
        <v>157</v>
      </c>
      <c r="D40" s="9">
        <v>1</v>
      </c>
      <c r="E40" s="7" t="s">
        <v>158</v>
      </c>
      <c r="F40" s="7" t="s">
        <v>154</v>
      </c>
      <c r="G40" s="8" t="s">
        <v>23</v>
      </c>
      <c r="H40" s="8" t="s">
        <v>24</v>
      </c>
      <c r="I40" s="8" t="s">
        <v>25</v>
      </c>
      <c r="J40" s="8" t="s">
        <v>16</v>
      </c>
    </row>
    <row r="41" spans="1:10" ht="51" x14ac:dyDescent="0.45">
      <c r="A41" s="6" t="s">
        <v>159</v>
      </c>
      <c r="B41" s="7" t="s">
        <v>160</v>
      </c>
      <c r="C41" s="7" t="s">
        <v>161</v>
      </c>
      <c r="D41" s="9">
        <v>1</v>
      </c>
      <c r="E41" s="7" t="s">
        <v>162</v>
      </c>
      <c r="F41" s="7" t="s">
        <v>163</v>
      </c>
      <c r="G41" s="8" t="s">
        <v>23</v>
      </c>
      <c r="H41" s="8" t="s">
        <v>24</v>
      </c>
      <c r="I41" s="8" t="s">
        <v>25</v>
      </c>
      <c r="J41" s="8" t="s">
        <v>16</v>
      </c>
    </row>
    <row r="42" spans="1:10" ht="38.25" x14ac:dyDescent="0.45">
      <c r="A42" s="6" t="s">
        <v>164</v>
      </c>
      <c r="B42" s="7" t="s">
        <v>165</v>
      </c>
      <c r="C42" s="7" t="s">
        <v>166</v>
      </c>
      <c r="D42" s="9">
        <v>4</v>
      </c>
      <c r="E42" s="7" t="s">
        <v>167</v>
      </c>
      <c r="F42" s="7" t="s">
        <v>168</v>
      </c>
      <c r="G42" s="6" t="s">
        <v>56</v>
      </c>
      <c r="H42" s="8" t="s">
        <v>24</v>
      </c>
      <c r="I42" s="8" t="s">
        <v>25</v>
      </c>
      <c r="J42" s="8" t="s">
        <v>16</v>
      </c>
    </row>
    <row r="43" spans="1:10" ht="20" customHeight="1" x14ac:dyDescent="0.45">
      <c r="A43" s="6" t="s">
        <v>169</v>
      </c>
      <c r="B43" s="7" t="s">
        <v>170</v>
      </c>
      <c r="C43" s="7" t="s">
        <v>171</v>
      </c>
      <c r="D43" s="9">
        <v>1</v>
      </c>
      <c r="E43" s="7" t="s">
        <v>172</v>
      </c>
      <c r="F43" s="7" t="s">
        <v>163</v>
      </c>
      <c r="G43" s="8" t="s">
        <v>23</v>
      </c>
      <c r="H43" s="8" t="s">
        <v>24</v>
      </c>
      <c r="I43" s="8" t="s">
        <v>25</v>
      </c>
      <c r="J43" s="8" t="s">
        <v>16</v>
      </c>
    </row>
    <row r="44" spans="1:10" x14ac:dyDescent="0.45">
      <c r="A44" s="6" t="s">
        <v>173</v>
      </c>
      <c r="B44" s="7" t="s">
        <v>174</v>
      </c>
      <c r="C44" s="7" t="s">
        <v>175</v>
      </c>
      <c r="D44" s="9">
        <v>2</v>
      </c>
      <c r="E44" s="7" t="s">
        <v>176</v>
      </c>
      <c r="F44" s="7" t="s">
        <v>177</v>
      </c>
      <c r="G44" s="8" t="s">
        <v>23</v>
      </c>
      <c r="H44" s="8" t="s">
        <v>24</v>
      </c>
      <c r="I44" s="8" t="s">
        <v>25</v>
      </c>
      <c r="J44" s="8" t="s">
        <v>16</v>
      </c>
    </row>
    <row r="45" spans="1:10" ht="25.5" x14ac:dyDescent="0.45">
      <c r="A45" s="6" t="s">
        <v>178</v>
      </c>
      <c r="B45" s="7" t="s">
        <v>179</v>
      </c>
      <c r="C45" s="7" t="s">
        <v>180</v>
      </c>
      <c r="D45" s="9">
        <v>2</v>
      </c>
      <c r="E45" s="7" t="s">
        <v>120</v>
      </c>
      <c r="F45" s="7" t="s">
        <v>181</v>
      </c>
      <c r="G45" s="8" t="s">
        <v>23</v>
      </c>
      <c r="H45" s="8" t="s">
        <v>24</v>
      </c>
      <c r="I45" s="8" t="s">
        <v>25</v>
      </c>
      <c r="J45" s="8" t="s">
        <v>16</v>
      </c>
    </row>
    <row r="46" spans="1:10" ht="20" customHeight="1" x14ac:dyDescent="0.45">
      <c r="A46" s="6" t="s">
        <v>182</v>
      </c>
      <c r="B46" s="7" t="s">
        <v>183</v>
      </c>
      <c r="C46" s="7" t="s">
        <v>184</v>
      </c>
      <c r="D46" s="9">
        <v>1</v>
      </c>
      <c r="E46" s="7" t="s">
        <v>185</v>
      </c>
      <c r="F46" s="7" t="s">
        <v>181</v>
      </c>
      <c r="G46" s="8" t="s">
        <v>23</v>
      </c>
      <c r="H46" s="8"/>
      <c r="I46" s="8"/>
      <c r="J46" s="8"/>
    </row>
    <row r="47" spans="1:10" ht="20" customHeight="1" x14ac:dyDescent="0.45">
      <c r="A47" s="6" t="s">
        <v>186</v>
      </c>
      <c r="B47" s="7" t="s">
        <v>187</v>
      </c>
      <c r="C47" s="7" t="s">
        <v>188</v>
      </c>
      <c r="D47" s="9">
        <v>1</v>
      </c>
      <c r="E47" s="7" t="s">
        <v>189</v>
      </c>
      <c r="F47" s="7" t="s">
        <v>190</v>
      </c>
      <c r="G47" s="8" t="s">
        <v>23</v>
      </c>
      <c r="H47" s="8"/>
      <c r="I47" s="8"/>
      <c r="J47" s="8"/>
    </row>
    <row r="48" spans="1:10" ht="20" customHeight="1" x14ac:dyDescent="0.45">
      <c r="A48" s="6" t="s">
        <v>191</v>
      </c>
      <c r="B48" s="7" t="s">
        <v>192</v>
      </c>
      <c r="C48" s="7" t="s">
        <v>193</v>
      </c>
      <c r="D48" s="9">
        <v>0.75</v>
      </c>
      <c r="E48" s="7" t="s">
        <v>194</v>
      </c>
      <c r="F48" s="7" t="s">
        <v>195</v>
      </c>
      <c r="G48" s="8" t="s">
        <v>23</v>
      </c>
      <c r="H48" s="8"/>
      <c r="I48" s="8"/>
      <c r="J48" s="8"/>
    </row>
    <row r="49" spans="1:10" ht="20" customHeight="1" x14ac:dyDescent="0.45">
      <c r="A49" s="6" t="s">
        <v>196</v>
      </c>
      <c r="B49" s="7" t="s">
        <v>197</v>
      </c>
      <c r="C49" s="7" t="s">
        <v>198</v>
      </c>
      <c r="D49" s="9">
        <v>1</v>
      </c>
      <c r="E49" s="7" t="s">
        <v>199</v>
      </c>
      <c r="F49" s="7" t="s">
        <v>200</v>
      </c>
      <c r="G49" s="8" t="s">
        <v>23</v>
      </c>
      <c r="H49" s="8"/>
      <c r="I49" s="8"/>
      <c r="J49" s="8"/>
    </row>
    <row r="50" spans="1:10" ht="20" customHeight="1" x14ac:dyDescent="0.45">
      <c r="A50" s="6" t="s">
        <v>201</v>
      </c>
      <c r="B50" s="7" t="s">
        <v>202</v>
      </c>
      <c r="C50" s="7" t="s">
        <v>203</v>
      </c>
      <c r="D50" s="9">
        <v>0</v>
      </c>
      <c r="E50" s="7" t="s">
        <v>204</v>
      </c>
      <c r="F50" s="7" t="s">
        <v>16</v>
      </c>
      <c r="G50" s="8" t="s">
        <v>23</v>
      </c>
      <c r="H50" s="8"/>
      <c r="I50" s="8"/>
      <c r="J50" s="8"/>
    </row>
    <row r="51" spans="1:10" ht="20" customHeight="1" x14ac:dyDescent="0.45">
      <c r="A51" s="5" t="s">
        <v>205</v>
      </c>
      <c r="B51" s="5"/>
      <c r="C51" s="5"/>
      <c r="D51" s="5"/>
      <c r="E51" s="5"/>
      <c r="F51" s="5"/>
      <c r="G51" s="5"/>
      <c r="H51" s="5"/>
      <c r="I51" s="5"/>
      <c r="J51" s="5"/>
    </row>
    <row r="52" spans="1:10" ht="20" customHeight="1" x14ac:dyDescent="0.45">
      <c r="A52" s="6" t="s">
        <v>206</v>
      </c>
      <c r="B52" s="7" t="s">
        <v>207</v>
      </c>
      <c r="C52" s="7" t="s">
        <v>208</v>
      </c>
      <c r="D52" s="6">
        <v>1.4</v>
      </c>
      <c r="E52" s="7" t="s">
        <v>209</v>
      </c>
      <c r="F52" s="7" t="s">
        <v>210</v>
      </c>
      <c r="G52" s="8" t="s">
        <v>23</v>
      </c>
      <c r="H52" s="8" t="s">
        <v>24</v>
      </c>
      <c r="I52" s="8" t="s">
        <v>25</v>
      </c>
      <c r="J52" s="8" t="s">
        <v>16</v>
      </c>
    </row>
    <row r="53" spans="1:10" ht="38.25" x14ac:dyDescent="0.45">
      <c r="A53" s="6" t="s">
        <v>211</v>
      </c>
      <c r="B53" s="7" t="s">
        <v>212</v>
      </c>
      <c r="C53" s="7" t="s">
        <v>213</v>
      </c>
      <c r="D53" s="6">
        <v>1</v>
      </c>
      <c r="E53" s="7" t="s">
        <v>214</v>
      </c>
      <c r="F53" s="7" t="s">
        <v>215</v>
      </c>
      <c r="G53" s="8" t="s">
        <v>23</v>
      </c>
      <c r="H53" s="8"/>
      <c r="I53" s="8"/>
      <c r="J53" s="8"/>
    </row>
    <row r="54" spans="1:10" ht="51" x14ac:dyDescent="0.45">
      <c r="A54" s="6" t="s">
        <v>216</v>
      </c>
      <c r="B54" s="7" t="s">
        <v>217</v>
      </c>
      <c r="C54" s="7" t="s">
        <v>218</v>
      </c>
      <c r="D54" s="6">
        <v>2</v>
      </c>
      <c r="E54" s="7" t="s">
        <v>214</v>
      </c>
      <c r="F54" s="7" t="s">
        <v>219</v>
      </c>
      <c r="G54" s="8" t="s">
        <v>23</v>
      </c>
      <c r="H54" s="8"/>
      <c r="I54" s="8"/>
      <c r="J54" s="8"/>
    </row>
    <row r="55" spans="1:10" ht="25.5" x14ac:dyDescent="0.45">
      <c r="A55" s="6" t="s">
        <v>220</v>
      </c>
      <c r="B55" s="7" t="s">
        <v>221</v>
      </c>
      <c r="C55" s="7" t="s">
        <v>222</v>
      </c>
      <c r="D55" s="9">
        <v>6</v>
      </c>
      <c r="E55" s="7" t="s">
        <v>223</v>
      </c>
      <c r="F55" s="7" t="s">
        <v>66</v>
      </c>
      <c r="G55" s="8" t="s">
        <v>23</v>
      </c>
      <c r="H55" s="8" t="s">
        <v>24</v>
      </c>
      <c r="I55" s="8" t="s">
        <v>25</v>
      </c>
      <c r="J55" s="8" t="s">
        <v>16</v>
      </c>
    </row>
    <row r="56" spans="1:10" x14ac:dyDescent="0.45">
      <c r="A56" s="6" t="s">
        <v>224</v>
      </c>
      <c r="B56" s="7" t="s">
        <v>225</v>
      </c>
      <c r="C56" s="7" t="s">
        <v>226</v>
      </c>
      <c r="D56" s="9">
        <v>1</v>
      </c>
      <c r="E56" s="7" t="s">
        <v>227</v>
      </c>
      <c r="F56" s="7"/>
      <c r="G56" s="6" t="s">
        <v>56</v>
      </c>
      <c r="H56" s="8" t="s">
        <v>24</v>
      </c>
      <c r="I56" s="8" t="s">
        <v>25</v>
      </c>
      <c r="J56" s="8" t="s">
        <v>16</v>
      </c>
    </row>
    <row r="57" spans="1:10" ht="20" customHeight="1" x14ac:dyDescent="0.45">
      <c r="A57" s="6"/>
      <c r="B57" s="7"/>
      <c r="C57" s="7"/>
      <c r="D57" s="9"/>
      <c r="E57" s="7"/>
      <c r="F57" s="7"/>
      <c r="G57" s="8"/>
      <c r="H57" s="8"/>
      <c r="I57" s="8"/>
      <c r="J57" s="8"/>
    </row>
    <row r="58" spans="1:10" ht="20" customHeight="1" x14ac:dyDescent="0.45">
      <c r="A58" s="5" t="s">
        <v>228</v>
      </c>
      <c r="B58" s="5"/>
      <c r="C58" s="5"/>
      <c r="D58" s="5"/>
      <c r="E58" s="5"/>
      <c r="F58" s="5"/>
      <c r="G58" s="5"/>
      <c r="H58" s="5"/>
      <c r="I58" s="5"/>
      <c r="J58" s="5"/>
    </row>
    <row r="59" spans="1:10" ht="25.5" x14ac:dyDescent="0.45">
      <c r="A59" s="6" t="s">
        <v>229</v>
      </c>
      <c r="B59" s="7" t="s">
        <v>230</v>
      </c>
      <c r="C59" s="7" t="s">
        <v>231</v>
      </c>
      <c r="D59" s="9">
        <v>7</v>
      </c>
      <c r="E59" s="7" t="s">
        <v>232</v>
      </c>
      <c r="F59" s="7" t="s">
        <v>233</v>
      </c>
      <c r="G59" s="8" t="s">
        <v>23</v>
      </c>
      <c r="H59" s="6"/>
      <c r="I59" s="6"/>
      <c r="J59" s="6"/>
    </row>
    <row r="60" spans="1:10" x14ac:dyDescent="0.45">
      <c r="A60" s="6" t="s">
        <v>234</v>
      </c>
      <c r="B60" s="7" t="s">
        <v>235</v>
      </c>
      <c r="C60" s="7" t="s">
        <v>236</v>
      </c>
      <c r="D60" s="9">
        <v>3</v>
      </c>
      <c r="E60" s="7" t="s">
        <v>93</v>
      </c>
      <c r="F60" s="7" t="s">
        <v>237</v>
      </c>
      <c r="G60" s="8" t="s">
        <v>23</v>
      </c>
      <c r="H60" s="8" t="s">
        <v>24</v>
      </c>
      <c r="I60" s="8" t="s">
        <v>25</v>
      </c>
      <c r="J60" s="8" t="s">
        <v>16</v>
      </c>
    </row>
    <row r="61" spans="1:10" ht="20" customHeight="1" x14ac:dyDescent="0.45">
      <c r="A61" s="5" t="s">
        <v>238</v>
      </c>
      <c r="B61" s="5"/>
      <c r="C61" s="5"/>
      <c r="D61" s="5"/>
      <c r="E61" s="5"/>
      <c r="F61" s="5"/>
      <c r="G61" s="5"/>
      <c r="H61" s="5"/>
      <c r="I61" s="5"/>
      <c r="J61" s="5"/>
    </row>
    <row r="62" spans="1:10" x14ac:dyDescent="0.45">
      <c r="A62" s="6" t="s">
        <v>239</v>
      </c>
      <c r="B62" s="7" t="s">
        <v>240</v>
      </c>
      <c r="C62" s="7" t="s">
        <v>241</v>
      </c>
      <c r="D62" s="9">
        <v>6</v>
      </c>
      <c r="E62" s="7" t="s">
        <v>242</v>
      </c>
      <c r="F62" s="7" t="s">
        <v>233</v>
      </c>
      <c r="G62" s="8" t="s">
        <v>23</v>
      </c>
      <c r="H62" s="6" t="s">
        <v>56</v>
      </c>
      <c r="I62" s="6" t="s">
        <v>56</v>
      </c>
      <c r="J62" s="6" t="s">
        <v>56</v>
      </c>
    </row>
    <row r="63" spans="1:10" ht="25.5" x14ac:dyDescent="0.45">
      <c r="A63" s="6" t="s">
        <v>243</v>
      </c>
      <c r="B63" s="7" t="s">
        <v>240</v>
      </c>
      <c r="C63" s="7" t="s">
        <v>244</v>
      </c>
      <c r="D63" s="9">
        <v>17</v>
      </c>
      <c r="E63" s="7" t="s">
        <v>245</v>
      </c>
      <c r="F63" s="7" t="s">
        <v>233</v>
      </c>
      <c r="G63" s="8" t="s">
        <v>23</v>
      </c>
      <c r="H63" s="6" t="s">
        <v>56</v>
      </c>
      <c r="I63" s="6" t="s">
        <v>56</v>
      </c>
      <c r="J63" s="6" t="s">
        <v>56</v>
      </c>
    </row>
    <row r="64" spans="1:10" x14ac:dyDescent="0.45">
      <c r="A64" s="6" t="s">
        <v>246</v>
      </c>
      <c r="B64" s="7" t="s">
        <v>240</v>
      </c>
      <c r="C64" s="7" t="s">
        <v>247</v>
      </c>
      <c r="D64" s="9">
        <v>15</v>
      </c>
      <c r="E64" s="7" t="s">
        <v>248</v>
      </c>
      <c r="F64" s="7" t="s">
        <v>233</v>
      </c>
      <c r="G64" s="8" t="s">
        <v>23</v>
      </c>
      <c r="H64" s="6" t="s">
        <v>56</v>
      </c>
      <c r="I64" s="6" t="s">
        <v>56</v>
      </c>
      <c r="J64" s="6" t="s">
        <v>56</v>
      </c>
    </row>
    <row r="65" spans="1:10" x14ac:dyDescent="0.45">
      <c r="A65" s="6" t="s">
        <v>249</v>
      </c>
      <c r="B65" s="7" t="s">
        <v>240</v>
      </c>
      <c r="C65" s="7" t="s">
        <v>250</v>
      </c>
      <c r="D65" s="9">
        <v>5</v>
      </c>
      <c r="E65" s="7" t="s">
        <v>79</v>
      </c>
      <c r="F65" s="7" t="s">
        <v>233</v>
      </c>
      <c r="G65" s="8" t="s">
        <v>23</v>
      </c>
      <c r="H65" s="6"/>
      <c r="I65" s="6"/>
      <c r="J65" s="6"/>
    </row>
    <row r="66" spans="1:10" x14ac:dyDescent="0.45">
      <c r="A66" s="6" t="s">
        <v>251</v>
      </c>
      <c r="B66" s="7" t="s">
        <v>240</v>
      </c>
      <c r="C66" s="7" t="s">
        <v>252</v>
      </c>
      <c r="D66" s="9">
        <v>4</v>
      </c>
      <c r="E66" s="7" t="s">
        <v>253</v>
      </c>
      <c r="F66" s="7" t="s">
        <v>233</v>
      </c>
      <c r="G66" s="8" t="s">
        <v>23</v>
      </c>
      <c r="H66" s="6" t="s">
        <v>56</v>
      </c>
      <c r="I66" s="6" t="s">
        <v>56</v>
      </c>
      <c r="J66" s="6" t="s">
        <v>56</v>
      </c>
    </row>
    <row r="67" spans="1:10" ht="20" customHeight="1" x14ac:dyDescent="0.45">
      <c r="A67" s="6" t="s">
        <v>254</v>
      </c>
      <c r="B67" s="7" t="s">
        <v>255</v>
      </c>
      <c r="C67" s="7" t="s">
        <v>244</v>
      </c>
      <c r="D67" s="6">
        <v>6</v>
      </c>
      <c r="E67" s="7" t="s">
        <v>256</v>
      </c>
      <c r="F67" s="7" t="s">
        <v>233</v>
      </c>
      <c r="G67" s="8" t="s">
        <v>23</v>
      </c>
      <c r="H67" s="6" t="s">
        <v>56</v>
      </c>
      <c r="I67" s="6" t="s">
        <v>56</v>
      </c>
      <c r="J67" s="6" t="s">
        <v>56</v>
      </c>
    </row>
    <row r="68" spans="1:10" ht="25.5" x14ac:dyDescent="0.45">
      <c r="A68" s="6" t="s">
        <v>257</v>
      </c>
      <c r="B68" s="7" t="s">
        <v>255</v>
      </c>
      <c r="C68" s="7" t="s">
        <v>247</v>
      </c>
      <c r="D68" s="6">
        <v>1</v>
      </c>
      <c r="E68" s="7" t="s">
        <v>258</v>
      </c>
      <c r="F68" s="7" t="s">
        <v>233</v>
      </c>
      <c r="G68" s="8" t="s">
        <v>23</v>
      </c>
      <c r="H68" s="6"/>
      <c r="I68" s="6"/>
      <c r="J68" s="6"/>
    </row>
    <row r="69" spans="1:10" ht="38.25" x14ac:dyDescent="0.45">
      <c r="A69" s="6" t="s">
        <v>259</v>
      </c>
      <c r="B69" s="7" t="s">
        <v>255</v>
      </c>
      <c r="C69" s="7" t="s">
        <v>260</v>
      </c>
      <c r="D69" s="9">
        <v>4</v>
      </c>
      <c r="E69" s="7" t="s">
        <v>261</v>
      </c>
      <c r="F69" s="7" t="s">
        <v>233</v>
      </c>
      <c r="G69" s="8" t="s">
        <v>23</v>
      </c>
      <c r="H69" s="6" t="s">
        <v>56</v>
      </c>
      <c r="I69" s="6" t="s">
        <v>56</v>
      </c>
      <c r="J69" s="6" t="s">
        <v>56</v>
      </c>
    </row>
    <row r="70" spans="1:10" x14ac:dyDescent="0.45">
      <c r="A70" s="6" t="s">
        <v>262</v>
      </c>
      <c r="B70" s="7" t="s">
        <v>230</v>
      </c>
      <c r="C70" s="7" t="s">
        <v>247</v>
      </c>
      <c r="D70" s="6">
        <v>14</v>
      </c>
      <c r="E70" s="7" t="s">
        <v>263</v>
      </c>
      <c r="F70" s="7" t="s">
        <v>233</v>
      </c>
      <c r="G70" s="8" t="s">
        <v>23</v>
      </c>
      <c r="H70" s="6" t="s">
        <v>56</v>
      </c>
      <c r="I70" s="6" t="s">
        <v>56</v>
      </c>
      <c r="J70" s="6" t="s">
        <v>56</v>
      </c>
    </row>
    <row r="71" spans="1:10" ht="25.5" x14ac:dyDescent="0.45">
      <c r="A71" s="6" t="s">
        <v>264</v>
      </c>
      <c r="B71" s="7" t="s">
        <v>265</v>
      </c>
      <c r="C71" s="7" t="s">
        <v>266</v>
      </c>
      <c r="D71" s="9">
        <v>2</v>
      </c>
      <c r="E71" s="7" t="s">
        <v>267</v>
      </c>
      <c r="F71" s="7" t="s">
        <v>233</v>
      </c>
      <c r="G71" s="8" t="s">
        <v>23</v>
      </c>
      <c r="H71" s="8"/>
      <c r="I71" s="8"/>
      <c r="J71" s="8"/>
    </row>
    <row r="72" spans="1:10" ht="38.25" x14ac:dyDescent="0.45">
      <c r="A72" s="6" t="s">
        <v>268</v>
      </c>
      <c r="B72" s="7" t="s">
        <v>269</v>
      </c>
      <c r="C72" s="7" t="s">
        <v>270</v>
      </c>
      <c r="D72" s="9">
        <v>17</v>
      </c>
      <c r="E72" s="7" t="s">
        <v>271</v>
      </c>
      <c r="F72" s="7" t="s">
        <v>61</v>
      </c>
      <c r="G72" s="8" t="s">
        <v>23</v>
      </c>
      <c r="H72" s="8" t="s">
        <v>24</v>
      </c>
      <c r="I72" s="8" t="s">
        <v>25</v>
      </c>
      <c r="J72" s="8" t="s">
        <v>16</v>
      </c>
    </row>
    <row r="73" spans="1:10" ht="25.5" x14ac:dyDescent="0.45">
      <c r="A73" s="6" t="s">
        <v>272</v>
      </c>
      <c r="B73" s="7" t="s">
        <v>235</v>
      </c>
      <c r="C73" s="7" t="s">
        <v>273</v>
      </c>
      <c r="D73" s="6">
        <v>1</v>
      </c>
      <c r="E73" s="7" t="s">
        <v>274</v>
      </c>
      <c r="F73" s="7" t="s">
        <v>275</v>
      </c>
      <c r="G73" s="8" t="s">
        <v>23</v>
      </c>
      <c r="H73" s="8" t="s">
        <v>24</v>
      </c>
      <c r="I73" s="8" t="s">
        <v>25</v>
      </c>
      <c r="J73" s="8" t="s">
        <v>16</v>
      </c>
    </row>
    <row r="74" spans="1:10" ht="20" customHeight="1" x14ac:dyDescent="0.45">
      <c r="A74" s="5" t="s">
        <v>276</v>
      </c>
      <c r="B74" s="5"/>
      <c r="C74" s="5"/>
      <c r="D74" s="5"/>
      <c r="E74" s="5"/>
      <c r="F74" s="5"/>
      <c r="G74" s="5"/>
      <c r="H74" s="5"/>
      <c r="I74" s="5"/>
      <c r="J74" s="5"/>
    </row>
    <row r="75" spans="1:10" ht="25.5" x14ac:dyDescent="0.45">
      <c r="A75" s="6" t="s">
        <v>277</v>
      </c>
      <c r="B75" s="7" t="s">
        <v>240</v>
      </c>
      <c r="C75" s="7" t="s">
        <v>278</v>
      </c>
      <c r="D75" s="6">
        <v>33</v>
      </c>
      <c r="E75" s="7" t="s">
        <v>279</v>
      </c>
      <c r="F75" s="7" t="s">
        <v>233</v>
      </c>
      <c r="G75" s="8" t="s">
        <v>23</v>
      </c>
      <c r="H75" s="6" t="s">
        <v>56</v>
      </c>
      <c r="I75" s="6" t="s">
        <v>56</v>
      </c>
      <c r="J75" s="6" t="s">
        <v>56</v>
      </c>
    </row>
    <row r="76" spans="1:10" x14ac:dyDescent="0.45">
      <c r="A76" s="6" t="s">
        <v>280</v>
      </c>
      <c r="B76" s="7" t="s">
        <v>240</v>
      </c>
      <c r="C76" s="7" t="s">
        <v>281</v>
      </c>
      <c r="D76" s="9">
        <v>6</v>
      </c>
      <c r="E76" s="7" t="s">
        <v>282</v>
      </c>
      <c r="F76" s="7" t="s">
        <v>233</v>
      </c>
      <c r="G76" s="8" t="s">
        <v>23</v>
      </c>
      <c r="H76" s="6" t="s">
        <v>56</v>
      </c>
      <c r="I76" s="6" t="s">
        <v>56</v>
      </c>
      <c r="J76" s="6" t="s">
        <v>56</v>
      </c>
    </row>
    <row r="77" spans="1:10" ht="20" customHeight="1" x14ac:dyDescent="0.45">
      <c r="A77" s="6" t="s">
        <v>283</v>
      </c>
      <c r="B77" s="7" t="s">
        <v>255</v>
      </c>
      <c r="C77" s="7" t="s">
        <v>284</v>
      </c>
      <c r="D77" s="6">
        <v>22</v>
      </c>
      <c r="E77" s="7" t="s">
        <v>285</v>
      </c>
      <c r="F77" s="7" t="s">
        <v>233</v>
      </c>
      <c r="G77" s="8" t="s">
        <v>23</v>
      </c>
      <c r="H77" s="6"/>
      <c r="I77" s="6"/>
      <c r="J77" s="6"/>
    </row>
    <row r="78" spans="1:10" ht="20" customHeight="1" x14ac:dyDescent="0.45">
      <c r="A78" s="6" t="s">
        <v>286</v>
      </c>
      <c r="B78" s="7" t="s">
        <v>255</v>
      </c>
      <c r="C78" s="7" t="s">
        <v>278</v>
      </c>
      <c r="D78" s="6">
        <v>6</v>
      </c>
      <c r="E78" s="7" t="s">
        <v>287</v>
      </c>
      <c r="F78" s="7" t="s">
        <v>233</v>
      </c>
      <c r="G78" s="8" t="s">
        <v>23</v>
      </c>
      <c r="H78" s="6" t="s">
        <v>56</v>
      </c>
      <c r="I78" s="6" t="s">
        <v>56</v>
      </c>
      <c r="J78" s="6" t="s">
        <v>56</v>
      </c>
    </row>
    <row r="79" spans="1:10" ht="20" customHeight="1" x14ac:dyDescent="0.45">
      <c r="A79" s="6" t="s">
        <v>288</v>
      </c>
      <c r="B79" s="7" t="s">
        <v>289</v>
      </c>
      <c r="C79" s="7" t="s">
        <v>290</v>
      </c>
      <c r="D79" s="9">
        <v>43</v>
      </c>
      <c r="E79" s="7" t="s">
        <v>291</v>
      </c>
      <c r="F79" s="7" t="s">
        <v>61</v>
      </c>
      <c r="G79" s="8" t="s">
        <v>23</v>
      </c>
      <c r="H79" s="8" t="s">
        <v>24</v>
      </c>
      <c r="I79" s="8" t="s">
        <v>25</v>
      </c>
      <c r="J79" s="8" t="s">
        <v>16</v>
      </c>
    </row>
    <row r="80" spans="1:10" ht="20" customHeight="1" x14ac:dyDescent="0.45">
      <c r="A80" s="6" t="s">
        <v>292</v>
      </c>
      <c r="B80" s="7" t="s">
        <v>293</v>
      </c>
      <c r="C80" s="7" t="s">
        <v>294</v>
      </c>
      <c r="D80" s="9">
        <v>1</v>
      </c>
      <c r="E80" s="7" t="s">
        <v>295</v>
      </c>
      <c r="F80" s="7" t="s">
        <v>233</v>
      </c>
      <c r="G80" s="8" t="s">
        <v>56</v>
      </c>
      <c r="H80" s="8"/>
      <c r="I80" s="8"/>
      <c r="J80" s="8"/>
    </row>
    <row r="81" spans="1:10" ht="20" customHeight="1" x14ac:dyDescent="0.45">
      <c r="A81" s="5" t="s">
        <v>296</v>
      </c>
      <c r="B81" s="5"/>
      <c r="C81" s="5"/>
      <c r="D81" s="5"/>
      <c r="E81" s="5"/>
      <c r="F81" s="5"/>
      <c r="G81" s="5"/>
      <c r="H81" s="5"/>
      <c r="I81" s="5"/>
      <c r="J81" s="5"/>
    </row>
    <row r="82" spans="1:10" ht="38.25" x14ac:dyDescent="0.45">
      <c r="A82" s="6" t="s">
        <v>297</v>
      </c>
      <c r="B82" s="7" t="s">
        <v>298</v>
      </c>
      <c r="C82" s="7" t="s">
        <v>299</v>
      </c>
      <c r="D82" s="9">
        <v>1</v>
      </c>
      <c r="E82" s="7" t="s">
        <v>300</v>
      </c>
      <c r="F82" s="7" t="s">
        <v>115</v>
      </c>
      <c r="G82" s="8" t="s">
        <v>23</v>
      </c>
      <c r="H82" s="8" t="s">
        <v>24</v>
      </c>
      <c r="I82" s="8" t="s">
        <v>25</v>
      </c>
      <c r="J82" s="8" t="s">
        <v>16</v>
      </c>
    </row>
    <row r="83" spans="1:10" ht="38.25" x14ac:dyDescent="0.45">
      <c r="A83" s="6" t="s">
        <v>301</v>
      </c>
      <c r="B83" s="7" t="s">
        <v>302</v>
      </c>
      <c r="C83" s="7" t="s">
        <v>303</v>
      </c>
      <c r="D83" s="9">
        <v>0.04</v>
      </c>
      <c r="E83" s="7" t="s">
        <v>300</v>
      </c>
      <c r="F83" s="7" t="s">
        <v>304</v>
      </c>
      <c r="G83" s="8" t="s">
        <v>23</v>
      </c>
      <c r="H83" s="8" t="s">
        <v>24</v>
      </c>
      <c r="I83" s="8" t="s">
        <v>25</v>
      </c>
      <c r="J83" s="8" t="s">
        <v>16</v>
      </c>
    </row>
    <row r="84" spans="1:10" ht="20" customHeight="1" x14ac:dyDescent="0.45">
      <c r="A84" s="6" t="s">
        <v>305</v>
      </c>
      <c r="B84" s="7" t="s">
        <v>306</v>
      </c>
      <c r="C84" s="7" t="s">
        <v>307</v>
      </c>
      <c r="D84" s="6">
        <v>1</v>
      </c>
      <c r="E84" s="7" t="s">
        <v>308</v>
      </c>
      <c r="F84" s="7" t="s">
        <v>309</v>
      </c>
      <c r="G84" s="6" t="s">
        <v>56</v>
      </c>
      <c r="H84" s="6" t="s">
        <v>56</v>
      </c>
      <c r="I84" s="6" t="s">
        <v>56</v>
      </c>
      <c r="J84" s="6" t="s">
        <v>56</v>
      </c>
    </row>
    <row r="85" spans="1:10" ht="25.5" x14ac:dyDescent="0.45">
      <c r="A85" s="6" t="s">
        <v>310</v>
      </c>
      <c r="B85" s="7" t="s">
        <v>311</v>
      </c>
      <c r="C85" s="7" t="s">
        <v>312</v>
      </c>
      <c r="D85" s="6">
        <v>1</v>
      </c>
      <c r="E85" s="7" t="s">
        <v>313</v>
      </c>
      <c r="F85" s="7" t="s">
        <v>314</v>
      </c>
      <c r="G85" s="8" t="s">
        <v>23</v>
      </c>
      <c r="H85" s="6"/>
      <c r="I85" s="6"/>
      <c r="J85" s="6"/>
    </row>
    <row r="86" spans="1:10" ht="20" customHeight="1" x14ac:dyDescent="0.45">
      <c r="A86" s="6" t="s">
        <v>315</v>
      </c>
      <c r="B86" s="7" t="s">
        <v>316</v>
      </c>
      <c r="C86" s="7" t="s">
        <v>317</v>
      </c>
      <c r="D86" s="9">
        <v>1</v>
      </c>
      <c r="E86" s="7" t="s">
        <v>318</v>
      </c>
      <c r="F86" s="7" t="s">
        <v>44</v>
      </c>
      <c r="G86" s="8" t="s">
        <v>23</v>
      </c>
      <c r="H86" s="6"/>
      <c r="I86" s="6"/>
      <c r="J86" s="6"/>
    </row>
    <row r="87" spans="1:10" ht="20" customHeight="1" x14ac:dyDescent="0.45">
      <c r="A87" s="5" t="s">
        <v>319</v>
      </c>
      <c r="B87" s="5"/>
      <c r="C87" s="5"/>
      <c r="D87" s="5"/>
      <c r="E87" s="5"/>
      <c r="F87" s="5"/>
      <c r="G87" s="5"/>
      <c r="H87" s="5"/>
      <c r="I87" s="5"/>
      <c r="J87" s="5"/>
    </row>
    <row r="88" spans="1:10" ht="20" customHeight="1" x14ac:dyDescent="0.45">
      <c r="A88" s="6" t="s">
        <v>320</v>
      </c>
      <c r="B88" s="7" t="s">
        <v>321</v>
      </c>
      <c r="C88" s="7" t="s">
        <v>322</v>
      </c>
      <c r="D88" s="6">
        <v>1</v>
      </c>
      <c r="E88" s="7" t="s">
        <v>323</v>
      </c>
      <c r="F88" s="7" t="s">
        <v>324</v>
      </c>
      <c r="G88" s="8" t="s">
        <v>325</v>
      </c>
      <c r="H88" s="6" t="s">
        <v>56</v>
      </c>
      <c r="I88" s="6" t="s">
        <v>56</v>
      </c>
      <c r="J88" s="6" t="s">
        <v>56</v>
      </c>
    </row>
    <row r="89" spans="1:10" x14ac:dyDescent="0.45">
      <c r="A89" s="6" t="s">
        <v>326</v>
      </c>
      <c r="B89" s="7" t="s">
        <v>327</v>
      </c>
      <c r="C89" s="7" t="s">
        <v>328</v>
      </c>
      <c r="D89" s="6">
        <v>1</v>
      </c>
      <c r="E89" s="7" t="s">
        <v>323</v>
      </c>
      <c r="F89" s="7" t="s">
        <v>324</v>
      </c>
      <c r="G89" s="8" t="s">
        <v>325</v>
      </c>
      <c r="H89" s="6" t="s">
        <v>56</v>
      </c>
      <c r="I89" s="6" t="s">
        <v>56</v>
      </c>
      <c r="J89" s="6" t="s">
        <v>56</v>
      </c>
    </row>
    <row r="90" spans="1:10" x14ac:dyDescent="0.45">
      <c r="A90" s="6" t="s">
        <v>329</v>
      </c>
      <c r="B90" s="7" t="s">
        <v>330</v>
      </c>
      <c r="C90" s="7" t="s">
        <v>331</v>
      </c>
      <c r="D90" s="6">
        <v>1</v>
      </c>
      <c r="E90" s="7" t="s">
        <v>332</v>
      </c>
      <c r="F90" s="7" t="s">
        <v>324</v>
      </c>
      <c r="G90" s="8" t="s">
        <v>325</v>
      </c>
      <c r="H90" s="6" t="s">
        <v>56</v>
      </c>
      <c r="I90" s="6" t="s">
        <v>56</v>
      </c>
      <c r="J90" s="6" t="s">
        <v>56</v>
      </c>
    </row>
    <row r="91" spans="1:10" x14ac:dyDescent="0.45">
      <c r="A91" s="6" t="s">
        <v>333</v>
      </c>
      <c r="B91" s="7" t="s">
        <v>334</v>
      </c>
      <c r="C91" s="7" t="s">
        <v>335</v>
      </c>
      <c r="D91" s="6">
        <v>1</v>
      </c>
      <c r="E91" s="7" t="s">
        <v>332</v>
      </c>
      <c r="F91" s="7" t="s">
        <v>324</v>
      </c>
      <c r="G91" s="8" t="s">
        <v>325</v>
      </c>
      <c r="H91" s="6" t="s">
        <v>56</v>
      </c>
      <c r="I91" s="6" t="s">
        <v>56</v>
      </c>
      <c r="J91" s="6" t="s">
        <v>56</v>
      </c>
    </row>
    <row r="92" spans="1:10" x14ac:dyDescent="0.45">
      <c r="A92" s="6" t="s">
        <v>336</v>
      </c>
      <c r="B92" s="7" t="s">
        <v>337</v>
      </c>
      <c r="C92" s="7" t="s">
        <v>338</v>
      </c>
      <c r="D92" s="6">
        <v>1</v>
      </c>
      <c r="E92" s="7" t="s">
        <v>141</v>
      </c>
      <c r="F92" s="7" t="s">
        <v>324</v>
      </c>
      <c r="G92" s="8" t="s">
        <v>325</v>
      </c>
      <c r="H92" s="6" t="s">
        <v>56</v>
      </c>
      <c r="I92" s="6" t="s">
        <v>56</v>
      </c>
      <c r="J92" s="6" t="s">
        <v>56</v>
      </c>
    </row>
    <row r="93" spans="1:10" x14ac:dyDescent="0.45">
      <c r="A93" s="6" t="s">
        <v>339</v>
      </c>
      <c r="B93" s="7" t="s">
        <v>340</v>
      </c>
      <c r="C93" s="7" t="s">
        <v>341</v>
      </c>
      <c r="D93" s="6">
        <v>1</v>
      </c>
      <c r="E93" s="7" t="s">
        <v>141</v>
      </c>
      <c r="F93" s="7" t="s">
        <v>324</v>
      </c>
      <c r="G93" s="8" t="s">
        <v>325</v>
      </c>
      <c r="H93" s="6" t="s">
        <v>56</v>
      </c>
      <c r="I93" s="6" t="s">
        <v>56</v>
      </c>
      <c r="J93" s="6" t="s">
        <v>56</v>
      </c>
    </row>
    <row r="94" spans="1:10" x14ac:dyDescent="0.45">
      <c r="A94" s="6" t="s">
        <v>342</v>
      </c>
      <c r="B94" s="7" t="s">
        <v>343</v>
      </c>
      <c r="C94" s="7" t="s">
        <v>344</v>
      </c>
      <c r="D94" s="6">
        <v>1</v>
      </c>
      <c r="E94" s="7" t="s">
        <v>144</v>
      </c>
      <c r="F94" s="7" t="s">
        <v>324</v>
      </c>
      <c r="G94" s="8" t="s">
        <v>325</v>
      </c>
      <c r="H94" s="6" t="s">
        <v>56</v>
      </c>
      <c r="I94" s="6" t="s">
        <v>56</v>
      </c>
      <c r="J94" s="6" t="s">
        <v>56</v>
      </c>
    </row>
    <row r="95" spans="1:10" x14ac:dyDescent="0.45">
      <c r="A95" s="6" t="s">
        <v>345</v>
      </c>
      <c r="B95" s="7" t="s">
        <v>346</v>
      </c>
      <c r="C95" s="7" t="s">
        <v>347</v>
      </c>
      <c r="D95" s="6">
        <v>1</v>
      </c>
      <c r="E95" s="7" t="s">
        <v>144</v>
      </c>
      <c r="F95" s="7" t="s">
        <v>324</v>
      </c>
      <c r="G95" s="8" t="s">
        <v>325</v>
      </c>
      <c r="H95" s="6" t="s">
        <v>56</v>
      </c>
      <c r="I95" s="6" t="s">
        <v>56</v>
      </c>
      <c r="J95" s="6" t="s">
        <v>56</v>
      </c>
    </row>
    <row r="96" spans="1:10" x14ac:dyDescent="0.45">
      <c r="A96" s="6" t="s">
        <v>348</v>
      </c>
      <c r="B96" s="7" t="s">
        <v>349</v>
      </c>
      <c r="C96" s="7" t="s">
        <v>350</v>
      </c>
      <c r="D96" s="9">
        <v>1</v>
      </c>
      <c r="E96" s="7" t="s">
        <v>351</v>
      </c>
      <c r="F96" s="7" t="s">
        <v>324</v>
      </c>
      <c r="G96" s="8" t="s">
        <v>325</v>
      </c>
      <c r="H96" s="6" t="s">
        <v>56</v>
      </c>
      <c r="I96" s="6" t="s">
        <v>56</v>
      </c>
      <c r="J96" s="6" t="s">
        <v>56</v>
      </c>
    </row>
    <row r="97" spans="1:10" x14ac:dyDescent="0.45">
      <c r="A97" s="6" t="s">
        <v>352</v>
      </c>
      <c r="B97" s="7" t="s">
        <v>353</v>
      </c>
      <c r="C97" s="7" t="s">
        <v>354</v>
      </c>
      <c r="D97" s="9">
        <v>1</v>
      </c>
      <c r="E97" s="7" t="s">
        <v>351</v>
      </c>
      <c r="F97" s="7" t="s">
        <v>324</v>
      </c>
      <c r="G97" s="8" t="s">
        <v>325</v>
      </c>
      <c r="H97" s="6" t="s">
        <v>56</v>
      </c>
      <c r="I97" s="6" t="s">
        <v>56</v>
      </c>
      <c r="J97" s="6" t="s">
        <v>56</v>
      </c>
    </row>
    <row r="98" spans="1:10" x14ac:dyDescent="0.45">
      <c r="A98" s="6" t="s">
        <v>355</v>
      </c>
      <c r="B98" s="7" t="s">
        <v>356</v>
      </c>
      <c r="C98" s="7" t="s">
        <v>357</v>
      </c>
      <c r="D98" s="9">
        <v>1</v>
      </c>
      <c r="E98" s="7" t="s">
        <v>248</v>
      </c>
      <c r="F98" s="7" t="s">
        <v>324</v>
      </c>
      <c r="G98" s="8" t="s">
        <v>325</v>
      </c>
      <c r="H98" s="6" t="s">
        <v>56</v>
      </c>
      <c r="I98" s="6" t="s">
        <v>56</v>
      </c>
      <c r="J98" s="6" t="s">
        <v>56</v>
      </c>
    </row>
    <row r="99" spans="1:10" ht="25.5" x14ac:dyDescent="0.45">
      <c r="A99" s="6" t="s">
        <v>358</v>
      </c>
      <c r="B99" s="7" t="s">
        <v>359</v>
      </c>
      <c r="C99" s="7" t="s">
        <v>360</v>
      </c>
      <c r="D99" s="9">
        <v>1</v>
      </c>
      <c r="E99" s="7" t="s">
        <v>248</v>
      </c>
      <c r="F99" s="7" t="s">
        <v>324</v>
      </c>
      <c r="G99" s="8" t="s">
        <v>325</v>
      </c>
      <c r="H99" s="6" t="s">
        <v>56</v>
      </c>
      <c r="I99" s="6" t="s">
        <v>56</v>
      </c>
      <c r="J99" s="6" t="s">
        <v>56</v>
      </c>
    </row>
    <row r="100" spans="1:10" x14ac:dyDescent="0.45">
      <c r="A100" s="6" t="s">
        <v>361</v>
      </c>
      <c r="B100" s="7" t="s">
        <v>362</v>
      </c>
      <c r="C100" s="7" t="s">
        <v>363</v>
      </c>
      <c r="D100" s="9">
        <v>1</v>
      </c>
      <c r="E100" s="7" t="s">
        <v>364</v>
      </c>
      <c r="F100" s="7" t="s">
        <v>324</v>
      </c>
      <c r="G100" s="8" t="s">
        <v>325</v>
      </c>
      <c r="H100" s="6" t="s">
        <v>56</v>
      </c>
      <c r="I100" s="6" t="s">
        <v>56</v>
      </c>
      <c r="J100" s="6" t="s">
        <v>56</v>
      </c>
    </row>
    <row r="101" spans="1:10" x14ac:dyDescent="0.45">
      <c r="A101" s="6" t="s">
        <v>365</v>
      </c>
      <c r="B101" s="7" t="s">
        <v>366</v>
      </c>
      <c r="C101" s="7" t="s">
        <v>367</v>
      </c>
      <c r="D101" s="9">
        <v>1</v>
      </c>
      <c r="E101" s="7" t="s">
        <v>364</v>
      </c>
      <c r="F101" s="7" t="s">
        <v>324</v>
      </c>
      <c r="G101" s="8" t="s">
        <v>325</v>
      </c>
      <c r="H101" s="6" t="s">
        <v>56</v>
      </c>
      <c r="I101" s="6" t="s">
        <v>56</v>
      </c>
      <c r="J101" s="6" t="s">
        <v>56</v>
      </c>
    </row>
    <row r="102" spans="1:10" x14ac:dyDescent="0.45">
      <c r="A102" s="6" t="s">
        <v>368</v>
      </c>
      <c r="B102" s="7" t="s">
        <v>369</v>
      </c>
      <c r="C102" s="7" t="s">
        <v>370</v>
      </c>
      <c r="D102" s="9">
        <v>1</v>
      </c>
      <c r="E102" s="7" t="s">
        <v>364</v>
      </c>
      <c r="F102" s="7" t="s">
        <v>324</v>
      </c>
      <c r="G102" s="8" t="s">
        <v>325</v>
      </c>
      <c r="H102" s="6" t="s">
        <v>56</v>
      </c>
      <c r="I102" s="6" t="s">
        <v>56</v>
      </c>
      <c r="J102" s="6" t="s">
        <v>56</v>
      </c>
    </row>
    <row r="103" spans="1:10" x14ac:dyDescent="0.45">
      <c r="A103" s="6" t="s">
        <v>371</v>
      </c>
      <c r="B103" s="7" t="s">
        <v>372</v>
      </c>
      <c r="C103" s="7" t="s">
        <v>373</v>
      </c>
      <c r="D103" s="9">
        <v>1</v>
      </c>
      <c r="E103" s="7" t="s">
        <v>364</v>
      </c>
      <c r="F103" s="7" t="s">
        <v>324</v>
      </c>
      <c r="G103" s="8" t="s">
        <v>325</v>
      </c>
      <c r="H103" s="6" t="s">
        <v>56</v>
      </c>
      <c r="I103" s="6" t="s">
        <v>56</v>
      </c>
      <c r="J103" s="6" t="s">
        <v>56</v>
      </c>
    </row>
    <row r="104" spans="1:10" x14ac:dyDescent="0.45">
      <c r="A104" s="6" t="s">
        <v>374</v>
      </c>
      <c r="B104" s="7" t="s">
        <v>375</v>
      </c>
      <c r="C104" s="7" t="s">
        <v>376</v>
      </c>
      <c r="D104" s="9">
        <v>2</v>
      </c>
      <c r="E104" s="7" t="s">
        <v>364</v>
      </c>
      <c r="F104" s="7" t="s">
        <v>324</v>
      </c>
      <c r="G104" s="8" t="s">
        <v>325</v>
      </c>
      <c r="H104" s="6" t="s">
        <v>56</v>
      </c>
      <c r="I104" s="6" t="s">
        <v>56</v>
      </c>
      <c r="J104" s="6" t="s">
        <v>56</v>
      </c>
    </row>
    <row r="105" spans="1:10" x14ac:dyDescent="0.45">
      <c r="A105" s="6" t="s">
        <v>377</v>
      </c>
      <c r="B105" s="7" t="s">
        <v>378</v>
      </c>
      <c r="C105" s="7" t="s">
        <v>379</v>
      </c>
      <c r="D105" s="9">
        <v>1</v>
      </c>
      <c r="E105" s="7" t="s">
        <v>93</v>
      </c>
      <c r="F105" s="7" t="s">
        <v>324</v>
      </c>
      <c r="G105" s="8" t="s">
        <v>325</v>
      </c>
      <c r="H105" s="6" t="s">
        <v>56</v>
      </c>
      <c r="I105" s="6" t="s">
        <v>56</v>
      </c>
      <c r="J105" s="6" t="s">
        <v>56</v>
      </c>
    </row>
    <row r="106" spans="1:10" x14ac:dyDescent="0.45">
      <c r="A106" s="6" t="s">
        <v>380</v>
      </c>
      <c r="B106" s="7" t="s">
        <v>381</v>
      </c>
      <c r="C106" s="7" t="s">
        <v>382</v>
      </c>
      <c r="D106" s="9">
        <v>1</v>
      </c>
      <c r="E106" s="7" t="s">
        <v>93</v>
      </c>
      <c r="F106" s="7" t="s">
        <v>324</v>
      </c>
      <c r="G106" s="8" t="s">
        <v>325</v>
      </c>
      <c r="H106" s="6" t="s">
        <v>56</v>
      </c>
      <c r="I106" s="6" t="s">
        <v>56</v>
      </c>
      <c r="J106" s="6" t="s">
        <v>56</v>
      </c>
    </row>
    <row r="107" spans="1:10" x14ac:dyDescent="0.45">
      <c r="A107" s="6" t="s">
        <v>383</v>
      </c>
      <c r="B107" s="7" t="s">
        <v>384</v>
      </c>
      <c r="C107" s="7" t="s">
        <v>385</v>
      </c>
      <c r="D107" s="9">
        <v>1</v>
      </c>
      <c r="E107" s="7" t="s">
        <v>93</v>
      </c>
      <c r="F107" s="7" t="s">
        <v>324</v>
      </c>
      <c r="G107" s="8" t="s">
        <v>325</v>
      </c>
      <c r="H107" s="6" t="s">
        <v>56</v>
      </c>
      <c r="I107" s="6" t="s">
        <v>56</v>
      </c>
      <c r="J107" s="6" t="s">
        <v>56</v>
      </c>
    </row>
    <row r="108" spans="1:10" x14ac:dyDescent="0.45">
      <c r="A108" s="6" t="s">
        <v>386</v>
      </c>
      <c r="B108" s="7" t="s">
        <v>387</v>
      </c>
      <c r="C108" s="7" t="s">
        <v>388</v>
      </c>
      <c r="D108" s="9">
        <v>1</v>
      </c>
      <c r="E108" s="7" t="s">
        <v>93</v>
      </c>
      <c r="F108" s="7" t="s">
        <v>324</v>
      </c>
      <c r="G108" s="8" t="s">
        <v>325</v>
      </c>
      <c r="H108" s="6" t="s">
        <v>56</v>
      </c>
      <c r="I108" s="6" t="s">
        <v>56</v>
      </c>
      <c r="J108" s="6" t="s">
        <v>56</v>
      </c>
    </row>
    <row r="109" spans="1:10" x14ac:dyDescent="0.45">
      <c r="A109" s="6" t="s">
        <v>389</v>
      </c>
      <c r="B109" s="7" t="s">
        <v>390</v>
      </c>
      <c r="C109" s="7" t="s">
        <v>391</v>
      </c>
      <c r="D109" s="6">
        <v>1</v>
      </c>
      <c r="E109" s="7" t="s">
        <v>392</v>
      </c>
      <c r="F109" s="7" t="s">
        <v>324</v>
      </c>
      <c r="G109" s="8" t="s">
        <v>325</v>
      </c>
      <c r="H109" s="6" t="s">
        <v>56</v>
      </c>
      <c r="I109" s="6" t="s">
        <v>56</v>
      </c>
      <c r="J109" s="6" t="s">
        <v>56</v>
      </c>
    </row>
    <row r="110" spans="1:10" ht="25.5" x14ac:dyDescent="0.45">
      <c r="A110" s="6" t="s">
        <v>393</v>
      </c>
      <c r="B110" s="7" t="s">
        <v>394</v>
      </c>
      <c r="C110" s="7" t="s">
        <v>395</v>
      </c>
      <c r="D110" s="9">
        <v>1</v>
      </c>
      <c r="E110" s="7" t="s">
        <v>392</v>
      </c>
      <c r="F110" s="7" t="s">
        <v>324</v>
      </c>
      <c r="G110" s="6" t="s">
        <v>56</v>
      </c>
      <c r="H110" s="6" t="s">
        <v>56</v>
      </c>
      <c r="I110" s="6" t="s">
        <v>56</v>
      </c>
      <c r="J110" s="6" t="s">
        <v>56</v>
      </c>
    </row>
    <row r="111" spans="1:10" x14ac:dyDescent="0.45">
      <c r="A111" s="6" t="s">
        <v>396</v>
      </c>
      <c r="B111" s="7" t="s">
        <v>397</v>
      </c>
      <c r="C111" s="7" t="s">
        <v>398</v>
      </c>
      <c r="D111" s="9">
        <v>1</v>
      </c>
      <c r="E111" s="7" t="s">
        <v>136</v>
      </c>
      <c r="F111" s="7" t="s">
        <v>324</v>
      </c>
      <c r="G111" s="8" t="s">
        <v>325</v>
      </c>
      <c r="H111" s="6" t="s">
        <v>56</v>
      </c>
      <c r="I111" s="6" t="s">
        <v>56</v>
      </c>
      <c r="J111" s="6" t="s">
        <v>56</v>
      </c>
    </row>
    <row r="112" spans="1:10" x14ac:dyDescent="0.45">
      <c r="A112" s="6" t="s">
        <v>399</v>
      </c>
      <c r="B112" s="7" t="s">
        <v>400</v>
      </c>
      <c r="C112" s="7" t="s">
        <v>401</v>
      </c>
      <c r="D112" s="9">
        <v>1</v>
      </c>
      <c r="E112" s="7" t="s">
        <v>136</v>
      </c>
      <c r="F112" s="7" t="s">
        <v>324</v>
      </c>
      <c r="G112" s="8" t="s">
        <v>325</v>
      </c>
      <c r="H112" s="6" t="s">
        <v>56</v>
      </c>
      <c r="I112" s="6" t="s">
        <v>56</v>
      </c>
      <c r="J112" s="6" t="s">
        <v>56</v>
      </c>
    </row>
    <row r="113" spans="1:10" x14ac:dyDescent="0.45">
      <c r="A113" s="6" t="s">
        <v>402</v>
      </c>
      <c r="B113" s="7" t="s">
        <v>403</v>
      </c>
      <c r="C113" s="7" t="s">
        <v>404</v>
      </c>
      <c r="D113" s="9">
        <v>1</v>
      </c>
      <c r="E113" s="7" t="s">
        <v>405</v>
      </c>
      <c r="F113" s="7" t="s">
        <v>324</v>
      </c>
      <c r="G113" s="8" t="s">
        <v>325</v>
      </c>
      <c r="H113" s="6" t="s">
        <v>56</v>
      </c>
      <c r="I113" s="6" t="s">
        <v>56</v>
      </c>
      <c r="J113" s="6" t="s">
        <v>56</v>
      </c>
    </row>
    <row r="114" spans="1:10" x14ac:dyDescent="0.45">
      <c r="A114" s="6" t="s">
        <v>406</v>
      </c>
      <c r="B114" s="7" t="s">
        <v>407</v>
      </c>
      <c r="C114" s="7" t="s">
        <v>408</v>
      </c>
      <c r="D114" s="9">
        <v>1</v>
      </c>
      <c r="E114" s="7" t="s">
        <v>405</v>
      </c>
      <c r="F114" s="7" t="s">
        <v>324</v>
      </c>
      <c r="G114" s="8" t="s">
        <v>325</v>
      </c>
      <c r="H114" s="6" t="s">
        <v>56</v>
      </c>
      <c r="I114" s="6" t="s">
        <v>56</v>
      </c>
      <c r="J114" s="6" t="s">
        <v>56</v>
      </c>
    </row>
    <row r="115" spans="1:10" x14ac:dyDescent="0.45">
      <c r="A115" s="6" t="s">
        <v>409</v>
      </c>
      <c r="B115" s="7" t="s">
        <v>410</v>
      </c>
      <c r="C115" s="7" t="s">
        <v>411</v>
      </c>
      <c r="D115" s="9">
        <v>1</v>
      </c>
      <c r="E115" s="7" t="s">
        <v>158</v>
      </c>
      <c r="F115" s="7" t="s">
        <v>324</v>
      </c>
      <c r="G115" s="8" t="s">
        <v>325</v>
      </c>
      <c r="H115" s="6" t="s">
        <v>56</v>
      </c>
      <c r="I115" s="6" t="s">
        <v>56</v>
      </c>
      <c r="J115" s="6" t="s">
        <v>56</v>
      </c>
    </row>
    <row r="116" spans="1:10" x14ac:dyDescent="0.45">
      <c r="A116" s="6" t="s">
        <v>412</v>
      </c>
      <c r="B116" s="7" t="s">
        <v>413</v>
      </c>
      <c r="C116" s="7" t="s">
        <v>414</v>
      </c>
      <c r="D116" s="9">
        <v>8</v>
      </c>
      <c r="E116" s="7" t="s">
        <v>415</v>
      </c>
      <c r="F116" s="7" t="s">
        <v>324</v>
      </c>
      <c r="G116" s="8" t="s">
        <v>325</v>
      </c>
      <c r="H116" s="6" t="s">
        <v>56</v>
      </c>
      <c r="I116" s="6" t="s">
        <v>56</v>
      </c>
      <c r="J116" s="6" t="s">
        <v>56</v>
      </c>
    </row>
    <row r="117" spans="1:10" x14ac:dyDescent="0.45">
      <c r="A117" s="6" t="s">
        <v>416</v>
      </c>
      <c r="B117" s="7" t="s">
        <v>417</v>
      </c>
      <c r="C117" s="7" t="s">
        <v>418</v>
      </c>
      <c r="D117" s="9">
        <v>1</v>
      </c>
      <c r="E117" s="7" t="s">
        <v>43</v>
      </c>
      <c r="F117" s="7" t="s">
        <v>324</v>
      </c>
      <c r="G117" s="8" t="s">
        <v>325</v>
      </c>
      <c r="H117" s="6" t="s">
        <v>56</v>
      </c>
      <c r="I117" s="6" t="s">
        <v>56</v>
      </c>
      <c r="J117" s="6" t="s">
        <v>56</v>
      </c>
    </row>
    <row r="118" spans="1:10" x14ac:dyDescent="0.45">
      <c r="A118" s="6" t="s">
        <v>419</v>
      </c>
      <c r="B118" s="7" t="s">
        <v>420</v>
      </c>
      <c r="C118" s="7" t="s">
        <v>421</v>
      </c>
      <c r="D118" s="9">
        <v>1</v>
      </c>
      <c r="E118" s="7" t="s">
        <v>422</v>
      </c>
      <c r="F118" s="7" t="s">
        <v>324</v>
      </c>
      <c r="G118" s="8" t="s">
        <v>325</v>
      </c>
      <c r="H118" s="6" t="s">
        <v>56</v>
      </c>
      <c r="I118" s="6" t="s">
        <v>56</v>
      </c>
      <c r="J118" s="6" t="s">
        <v>56</v>
      </c>
    </row>
    <row r="119" spans="1:10" x14ac:dyDescent="0.45">
      <c r="A119" s="6" t="s">
        <v>423</v>
      </c>
      <c r="B119" s="7" t="s">
        <v>424</v>
      </c>
      <c r="C119" s="7" t="s">
        <v>425</v>
      </c>
      <c r="D119" s="9">
        <v>1</v>
      </c>
      <c r="E119" s="7" t="s">
        <v>426</v>
      </c>
      <c r="F119" s="7" t="s">
        <v>324</v>
      </c>
      <c r="G119" s="8" t="s">
        <v>325</v>
      </c>
      <c r="H119" s="6" t="s">
        <v>56</v>
      </c>
      <c r="I119" s="6" t="s">
        <v>56</v>
      </c>
      <c r="J119" s="6" t="s">
        <v>56</v>
      </c>
    </row>
    <row r="120" spans="1:10" x14ac:dyDescent="0.45">
      <c r="A120" s="6" t="s">
        <v>427</v>
      </c>
      <c r="B120" s="7" t="s">
        <v>428</v>
      </c>
      <c r="C120" s="7" t="s">
        <v>429</v>
      </c>
      <c r="D120" s="9">
        <v>1</v>
      </c>
      <c r="E120" s="7" t="s">
        <v>426</v>
      </c>
      <c r="F120" s="7" t="s">
        <v>324</v>
      </c>
      <c r="G120" s="8" t="s">
        <v>325</v>
      </c>
      <c r="H120" s="6" t="s">
        <v>56</v>
      </c>
      <c r="I120" s="6" t="s">
        <v>56</v>
      </c>
      <c r="J120" s="6" t="s">
        <v>56</v>
      </c>
    </row>
    <row r="121" spans="1:10" x14ac:dyDescent="0.45">
      <c r="A121" s="6" t="s">
        <v>430</v>
      </c>
      <c r="B121" s="7" t="s">
        <v>431</v>
      </c>
      <c r="C121" s="7" t="s">
        <v>432</v>
      </c>
      <c r="D121" s="9">
        <v>1</v>
      </c>
      <c r="E121" s="7" t="s">
        <v>426</v>
      </c>
      <c r="F121" s="7" t="s">
        <v>324</v>
      </c>
      <c r="G121" s="8" t="s">
        <v>325</v>
      </c>
      <c r="H121" s="6" t="s">
        <v>56</v>
      </c>
      <c r="I121" s="6" t="s">
        <v>56</v>
      </c>
      <c r="J121" s="6" t="s">
        <v>56</v>
      </c>
    </row>
    <row r="122" spans="1:10" x14ac:dyDescent="0.45">
      <c r="A122" s="6" t="s">
        <v>433</v>
      </c>
      <c r="B122" s="7" t="s">
        <v>434</v>
      </c>
      <c r="C122" s="7" t="s">
        <v>435</v>
      </c>
      <c r="D122" s="9">
        <v>1</v>
      </c>
      <c r="E122" s="7" t="s">
        <v>426</v>
      </c>
      <c r="F122" s="7" t="s">
        <v>324</v>
      </c>
      <c r="G122" s="8" t="s">
        <v>325</v>
      </c>
      <c r="H122" s="6" t="s">
        <v>56</v>
      </c>
      <c r="I122" s="6" t="s">
        <v>56</v>
      </c>
      <c r="J122" s="6" t="s">
        <v>56</v>
      </c>
    </row>
    <row r="123" spans="1:10" x14ac:dyDescent="0.45">
      <c r="A123" s="6" t="s">
        <v>436</v>
      </c>
      <c r="B123" s="7" t="s">
        <v>437</v>
      </c>
      <c r="C123" s="7" t="s">
        <v>438</v>
      </c>
      <c r="D123" s="9">
        <v>1</v>
      </c>
      <c r="E123" s="7" t="s">
        <v>426</v>
      </c>
      <c r="F123" s="7" t="s">
        <v>324</v>
      </c>
      <c r="G123" s="8" t="s">
        <v>325</v>
      </c>
      <c r="H123" s="6" t="s">
        <v>56</v>
      </c>
      <c r="I123" s="6" t="s">
        <v>56</v>
      </c>
      <c r="J123" s="6" t="s">
        <v>56</v>
      </c>
    </row>
    <row r="124" spans="1:10" x14ac:dyDescent="0.45">
      <c r="A124" s="6" t="s">
        <v>439</v>
      </c>
      <c r="B124" s="7" t="s">
        <v>440</v>
      </c>
      <c r="C124" s="7" t="s">
        <v>441</v>
      </c>
      <c r="D124" s="9">
        <v>1</v>
      </c>
      <c r="E124" s="7" t="s">
        <v>442</v>
      </c>
      <c r="F124" s="7" t="s">
        <v>324</v>
      </c>
      <c r="G124" s="8" t="s">
        <v>325</v>
      </c>
      <c r="H124" s="6" t="s">
        <v>56</v>
      </c>
      <c r="I124" s="6" t="s">
        <v>56</v>
      </c>
      <c r="J124" s="6" t="s">
        <v>56</v>
      </c>
    </row>
    <row r="125" spans="1:10" x14ac:dyDescent="0.45">
      <c r="A125" s="6" t="s">
        <v>443</v>
      </c>
      <c r="B125" s="7" t="s">
        <v>444</v>
      </c>
      <c r="C125" s="7" t="s">
        <v>445</v>
      </c>
      <c r="D125" s="9">
        <v>1</v>
      </c>
      <c r="E125" s="7" t="s">
        <v>442</v>
      </c>
      <c r="F125" s="7" t="s">
        <v>324</v>
      </c>
      <c r="G125" s="8" t="s">
        <v>325</v>
      </c>
      <c r="H125" s="6" t="s">
        <v>56</v>
      </c>
      <c r="I125" s="6" t="s">
        <v>56</v>
      </c>
      <c r="J125" s="6" t="s">
        <v>56</v>
      </c>
    </row>
    <row r="126" spans="1:10" ht="25.5" x14ac:dyDescent="0.45">
      <c r="A126" s="6" t="s">
        <v>446</v>
      </c>
      <c r="B126" s="7" t="s">
        <v>447</v>
      </c>
      <c r="C126" s="7" t="s">
        <v>448</v>
      </c>
      <c r="D126" s="9">
        <v>1</v>
      </c>
      <c r="E126" s="7" t="s">
        <v>442</v>
      </c>
      <c r="F126" s="7" t="s">
        <v>324</v>
      </c>
      <c r="G126" s="8" t="s">
        <v>325</v>
      </c>
      <c r="H126" s="6" t="s">
        <v>56</v>
      </c>
      <c r="I126" s="6" t="s">
        <v>56</v>
      </c>
      <c r="J126" s="6" t="s">
        <v>56</v>
      </c>
    </row>
    <row r="127" spans="1:10" ht="25.5" x14ac:dyDescent="0.45">
      <c r="A127" s="6" t="s">
        <v>449</v>
      </c>
      <c r="B127" s="7" t="s">
        <v>450</v>
      </c>
      <c r="C127" s="7" t="s">
        <v>451</v>
      </c>
      <c r="D127" s="9">
        <v>1</v>
      </c>
      <c r="E127" s="7" t="s">
        <v>442</v>
      </c>
      <c r="F127" s="7" t="s">
        <v>324</v>
      </c>
      <c r="G127" s="8" t="s">
        <v>325</v>
      </c>
      <c r="H127" s="6" t="s">
        <v>56</v>
      </c>
      <c r="I127" s="6" t="s">
        <v>56</v>
      </c>
      <c r="J127" s="6" t="s">
        <v>56</v>
      </c>
    </row>
    <row r="128" spans="1:10" ht="25.5" x14ac:dyDescent="0.45">
      <c r="A128" s="6" t="s">
        <v>452</v>
      </c>
      <c r="B128" s="7" t="s">
        <v>453</v>
      </c>
      <c r="C128" s="7" t="s">
        <v>454</v>
      </c>
      <c r="D128" s="9">
        <v>1</v>
      </c>
      <c r="E128" s="7" t="s">
        <v>442</v>
      </c>
      <c r="F128" s="7" t="s">
        <v>324</v>
      </c>
      <c r="G128" s="8" t="s">
        <v>325</v>
      </c>
      <c r="H128" s="6" t="s">
        <v>56</v>
      </c>
      <c r="I128" s="6" t="s">
        <v>56</v>
      </c>
      <c r="J128" s="6" t="s">
        <v>56</v>
      </c>
    </row>
    <row r="129" spans="1:10" x14ac:dyDescent="0.45">
      <c r="A129" s="6" t="s">
        <v>455</v>
      </c>
      <c r="B129" s="7" t="s">
        <v>456</v>
      </c>
      <c r="C129" s="7" t="s">
        <v>457</v>
      </c>
      <c r="D129" s="9">
        <v>1</v>
      </c>
      <c r="E129" s="7" t="s">
        <v>442</v>
      </c>
      <c r="F129" s="7" t="s">
        <v>324</v>
      </c>
      <c r="G129" s="8" t="s">
        <v>325</v>
      </c>
      <c r="H129" s="6" t="s">
        <v>56</v>
      </c>
      <c r="I129" s="6" t="s">
        <v>56</v>
      </c>
      <c r="J129" s="6" t="s">
        <v>56</v>
      </c>
    </row>
    <row r="130" spans="1:10" x14ac:dyDescent="0.45">
      <c r="A130" s="6" t="s">
        <v>458</v>
      </c>
      <c r="B130" s="7" t="s">
        <v>459</v>
      </c>
      <c r="C130" s="7" t="s">
        <v>460</v>
      </c>
      <c r="D130" s="9">
        <v>1</v>
      </c>
      <c r="E130" s="7" t="s">
        <v>442</v>
      </c>
      <c r="F130" s="7" t="s">
        <v>324</v>
      </c>
      <c r="G130" s="8" t="s">
        <v>325</v>
      </c>
      <c r="H130" s="6" t="s">
        <v>56</v>
      </c>
      <c r="I130" s="6" t="s">
        <v>56</v>
      </c>
      <c r="J130" s="6" t="s">
        <v>56</v>
      </c>
    </row>
    <row r="131" spans="1:10" x14ac:dyDescent="0.45">
      <c r="A131" s="6" t="s">
        <v>461</v>
      </c>
      <c r="B131" s="7" t="s">
        <v>462</v>
      </c>
      <c r="C131" s="7" t="s">
        <v>463</v>
      </c>
      <c r="D131" s="9">
        <v>1</v>
      </c>
      <c r="E131" s="7" t="s">
        <v>442</v>
      </c>
      <c r="F131" s="7" t="s">
        <v>324</v>
      </c>
      <c r="G131" s="8" t="s">
        <v>325</v>
      </c>
      <c r="H131" s="6" t="s">
        <v>56</v>
      </c>
      <c r="I131" s="6" t="s">
        <v>56</v>
      </c>
      <c r="J131" s="6" t="s">
        <v>56</v>
      </c>
    </row>
    <row r="132" spans="1:10" x14ac:dyDescent="0.45">
      <c r="A132" s="6" t="s">
        <v>464</v>
      </c>
      <c r="B132" s="7" t="s">
        <v>465</v>
      </c>
      <c r="C132" s="7" t="s">
        <v>466</v>
      </c>
      <c r="D132" s="9">
        <v>1</v>
      </c>
      <c r="E132" s="7" t="s">
        <v>442</v>
      </c>
      <c r="F132" s="7" t="s">
        <v>324</v>
      </c>
      <c r="G132" s="8" t="s">
        <v>325</v>
      </c>
      <c r="H132" s="6" t="s">
        <v>56</v>
      </c>
      <c r="I132" s="6" t="s">
        <v>56</v>
      </c>
      <c r="J132" s="6" t="s">
        <v>56</v>
      </c>
    </row>
    <row r="133" spans="1:10" x14ac:dyDescent="0.45">
      <c r="A133" s="6" t="s">
        <v>467</v>
      </c>
      <c r="B133" s="7" t="s">
        <v>468</v>
      </c>
      <c r="C133" s="7" t="s">
        <v>469</v>
      </c>
      <c r="D133" s="9">
        <v>1</v>
      </c>
      <c r="E133" s="7" t="s">
        <v>442</v>
      </c>
      <c r="F133" s="7" t="s">
        <v>324</v>
      </c>
      <c r="G133" s="8" t="s">
        <v>325</v>
      </c>
      <c r="H133" s="6" t="s">
        <v>56</v>
      </c>
      <c r="I133" s="6" t="s">
        <v>56</v>
      </c>
      <c r="J133" s="6" t="s">
        <v>56</v>
      </c>
    </row>
    <row r="134" spans="1:10" ht="25.5" x14ac:dyDescent="0.45">
      <c r="A134" s="6" t="s">
        <v>470</v>
      </c>
      <c r="B134" s="7" t="s">
        <v>471</v>
      </c>
      <c r="C134" s="7" t="s">
        <v>472</v>
      </c>
      <c r="D134" s="9">
        <v>1</v>
      </c>
      <c r="E134" s="7" t="s">
        <v>442</v>
      </c>
      <c r="F134" s="7" t="s">
        <v>324</v>
      </c>
      <c r="G134" s="8" t="s">
        <v>325</v>
      </c>
      <c r="H134" s="6" t="s">
        <v>56</v>
      </c>
      <c r="I134" s="6" t="s">
        <v>56</v>
      </c>
      <c r="J134" s="6" t="s">
        <v>56</v>
      </c>
    </row>
    <row r="135" spans="1:10" ht="25.5" x14ac:dyDescent="0.45">
      <c r="A135" s="6" t="s">
        <v>473</v>
      </c>
      <c r="B135" s="7" t="s">
        <v>474</v>
      </c>
      <c r="C135" s="7" t="s">
        <v>475</v>
      </c>
      <c r="D135" s="9">
        <v>2</v>
      </c>
      <c r="E135" s="7" t="s">
        <v>476</v>
      </c>
      <c r="F135" s="7" t="s">
        <v>324</v>
      </c>
      <c r="G135" s="8" t="s">
        <v>325</v>
      </c>
      <c r="H135" s="6"/>
      <c r="I135" s="6"/>
      <c r="J135" s="6"/>
    </row>
    <row r="136" spans="1:10" ht="38.25" x14ac:dyDescent="0.45">
      <c r="A136" s="6" t="s">
        <v>477</v>
      </c>
      <c r="B136" s="7" t="s">
        <v>478</v>
      </c>
      <c r="C136" s="7" t="s">
        <v>479</v>
      </c>
      <c r="D136" s="9">
        <v>4</v>
      </c>
      <c r="E136" s="7" t="s">
        <v>480</v>
      </c>
      <c r="F136" s="7" t="s">
        <v>324</v>
      </c>
      <c r="G136" s="8" t="s">
        <v>325</v>
      </c>
      <c r="H136" s="6"/>
      <c r="I136" s="6"/>
      <c r="J136" s="6"/>
    </row>
    <row r="137" spans="1:10" ht="25.5" x14ac:dyDescent="0.45">
      <c r="A137" s="6" t="s">
        <v>481</v>
      </c>
      <c r="B137" s="7" t="s">
        <v>482</v>
      </c>
      <c r="C137" s="7" t="s">
        <v>483</v>
      </c>
      <c r="D137" s="9">
        <v>1</v>
      </c>
      <c r="E137" s="7" t="s">
        <v>295</v>
      </c>
      <c r="F137" s="7" t="s">
        <v>324</v>
      </c>
      <c r="G137" s="8" t="s">
        <v>56</v>
      </c>
      <c r="H137" s="6"/>
      <c r="I137" s="6"/>
      <c r="J137" s="6"/>
    </row>
    <row r="138" spans="1:10" ht="20" customHeight="1" x14ac:dyDescent="0.45">
      <c r="A138" s="5" t="s">
        <v>484</v>
      </c>
      <c r="B138" s="5"/>
      <c r="C138" s="5"/>
      <c r="D138" s="5"/>
      <c r="E138" s="5"/>
      <c r="F138" s="5"/>
      <c r="G138" s="5"/>
      <c r="H138" s="5"/>
      <c r="I138" s="5"/>
      <c r="J138" s="5"/>
    </row>
    <row r="139" spans="1:10" ht="25.5" x14ac:dyDescent="0.45">
      <c r="A139" s="6" t="s">
        <v>485</v>
      </c>
      <c r="B139" s="7" t="s">
        <v>486</v>
      </c>
      <c r="C139" s="7" t="s">
        <v>487</v>
      </c>
      <c r="D139" s="9">
        <v>1</v>
      </c>
      <c r="E139" s="7" t="s">
        <v>488</v>
      </c>
      <c r="F139" s="7" t="s">
        <v>275</v>
      </c>
      <c r="G139" s="8" t="s">
        <v>23</v>
      </c>
      <c r="H139" s="6"/>
      <c r="I139" s="6"/>
      <c r="J139" s="6"/>
    </row>
    <row r="140" spans="1:10" ht="25.5" x14ac:dyDescent="0.45">
      <c r="A140" s="6" t="s">
        <v>489</v>
      </c>
      <c r="B140" s="7" t="s">
        <v>490</v>
      </c>
      <c r="C140" s="7" t="s">
        <v>491</v>
      </c>
      <c r="D140" s="9">
        <v>1</v>
      </c>
      <c r="E140" s="7" t="s">
        <v>492</v>
      </c>
      <c r="F140" s="7" t="s">
        <v>493</v>
      </c>
      <c r="G140" s="8" t="s">
        <v>56</v>
      </c>
      <c r="H140" s="6"/>
      <c r="I140" s="6"/>
      <c r="J140" s="6"/>
    </row>
    <row r="141" spans="1:10" ht="51" x14ac:dyDescent="0.45">
      <c r="A141" s="6" t="s">
        <v>494</v>
      </c>
      <c r="B141" s="7" t="s">
        <v>495</v>
      </c>
      <c r="C141" s="7" t="s">
        <v>496</v>
      </c>
      <c r="D141" s="9">
        <v>1</v>
      </c>
      <c r="E141" s="7" t="s">
        <v>497</v>
      </c>
      <c r="F141" s="7" t="s">
        <v>498</v>
      </c>
      <c r="G141" s="8" t="s">
        <v>23</v>
      </c>
      <c r="H141" s="6"/>
      <c r="I141" s="6"/>
      <c r="J141" s="6"/>
    </row>
    <row r="142" spans="1:10" ht="38.25" x14ac:dyDescent="0.45">
      <c r="A142" s="6" t="s">
        <v>499</v>
      </c>
      <c r="B142" s="7" t="s">
        <v>500</v>
      </c>
      <c r="C142" s="7" t="s">
        <v>501</v>
      </c>
      <c r="D142" s="9">
        <v>1</v>
      </c>
      <c r="E142" s="7" t="s">
        <v>502</v>
      </c>
      <c r="F142" s="7" t="s">
        <v>15</v>
      </c>
      <c r="G142" s="8" t="s">
        <v>23</v>
      </c>
      <c r="H142" s="6"/>
      <c r="I142" s="6"/>
      <c r="J142" s="6"/>
    </row>
  </sheetData>
  <mergeCells count="1">
    <mergeCell ref="A2:J2"/>
  </mergeCells>
  <hyperlinks>
    <hyperlink ref="G7" r:id="rId1" xr:uid="{00000000-0004-0000-0000-000000000000}"/>
    <hyperlink ref="H7" r:id="rId2" xr:uid="{00000000-0004-0000-0000-000001000000}"/>
    <hyperlink ref="I7" r:id="rId3" xr:uid="{00000000-0004-0000-0000-000002000000}"/>
    <hyperlink ref="J7" r:id="rId4" xr:uid="{00000000-0004-0000-0000-000003000000}"/>
    <hyperlink ref="G8" r:id="rId5" xr:uid="{00000000-0004-0000-0000-000004000000}"/>
    <hyperlink ref="H8" r:id="rId6" xr:uid="{00000000-0004-0000-0000-000005000000}"/>
    <hyperlink ref="I8" r:id="rId7" xr:uid="{00000000-0004-0000-0000-000006000000}"/>
    <hyperlink ref="J8" r:id="rId8" xr:uid="{00000000-0004-0000-0000-000007000000}"/>
    <hyperlink ref="G9" r:id="rId9" xr:uid="{00000000-0004-0000-0000-000008000000}"/>
    <hyperlink ref="H9" r:id="rId10" xr:uid="{00000000-0004-0000-0000-000009000000}"/>
    <hyperlink ref="I9" r:id="rId11" xr:uid="{00000000-0004-0000-0000-00000A000000}"/>
    <hyperlink ref="J9" r:id="rId12" xr:uid="{00000000-0004-0000-0000-00000B000000}"/>
    <hyperlink ref="G10" r:id="rId13" xr:uid="{00000000-0004-0000-0000-00000C000000}"/>
    <hyperlink ref="H10" r:id="rId14" xr:uid="{00000000-0004-0000-0000-00000D000000}"/>
    <hyperlink ref="I10" r:id="rId15" xr:uid="{00000000-0004-0000-0000-00000E000000}"/>
    <hyperlink ref="J10" r:id="rId16" xr:uid="{00000000-0004-0000-0000-00000F000000}"/>
    <hyperlink ref="G11" r:id="rId17" xr:uid="{00000000-0004-0000-0000-000010000000}"/>
    <hyperlink ref="H11" r:id="rId18" xr:uid="{00000000-0004-0000-0000-000011000000}"/>
    <hyperlink ref="I11" r:id="rId19" xr:uid="{00000000-0004-0000-0000-000012000000}"/>
    <hyperlink ref="J11" r:id="rId20" xr:uid="{00000000-0004-0000-0000-000013000000}"/>
    <hyperlink ref="G12" r:id="rId21" xr:uid="{00000000-0004-0000-0000-000014000000}"/>
    <hyperlink ref="H12" r:id="rId22" xr:uid="{00000000-0004-0000-0000-000015000000}"/>
    <hyperlink ref="I12" r:id="rId23" xr:uid="{00000000-0004-0000-0000-000016000000}"/>
    <hyperlink ref="J12" r:id="rId24" xr:uid="{00000000-0004-0000-0000-000017000000}"/>
    <hyperlink ref="G13" r:id="rId25" xr:uid="{00000000-0004-0000-0000-000018000000}"/>
    <hyperlink ref="H13" r:id="rId26" xr:uid="{00000000-0004-0000-0000-000019000000}"/>
    <hyperlink ref="I13" r:id="rId27" xr:uid="{00000000-0004-0000-0000-00001A000000}"/>
    <hyperlink ref="J13" r:id="rId28" xr:uid="{00000000-0004-0000-0000-00001B000000}"/>
    <hyperlink ref="G14" r:id="rId29" xr:uid="{00000000-0004-0000-0000-00001C000000}"/>
    <hyperlink ref="G15" r:id="rId30" xr:uid="{00000000-0004-0000-0000-00001D000000}"/>
    <hyperlink ref="G16" r:id="rId31" xr:uid="{00000000-0004-0000-0000-00001E000000}"/>
    <hyperlink ref="G17" r:id="rId32" xr:uid="{00000000-0004-0000-0000-00001F000000}"/>
    <hyperlink ref="G18" r:id="rId33" xr:uid="{00000000-0004-0000-0000-000020000000}"/>
    <hyperlink ref="G19" r:id="rId34" xr:uid="{00000000-0004-0000-0000-000021000000}"/>
    <hyperlink ref="G21" r:id="rId35" xr:uid="{00000000-0004-0000-0000-000022000000}"/>
    <hyperlink ref="H21" r:id="rId36" xr:uid="{00000000-0004-0000-0000-000023000000}"/>
    <hyperlink ref="I21" r:id="rId37" xr:uid="{00000000-0004-0000-0000-000024000000}"/>
    <hyperlink ref="J21" r:id="rId38" xr:uid="{00000000-0004-0000-0000-000025000000}"/>
    <hyperlink ref="G22" r:id="rId39" xr:uid="{00000000-0004-0000-0000-000026000000}"/>
    <hyperlink ref="H22" r:id="rId40" xr:uid="{00000000-0004-0000-0000-000027000000}"/>
    <hyperlink ref="I22" r:id="rId41" xr:uid="{00000000-0004-0000-0000-000028000000}"/>
    <hyperlink ref="J22" r:id="rId42" xr:uid="{00000000-0004-0000-0000-000029000000}"/>
    <hyperlink ref="G23" r:id="rId43" xr:uid="{00000000-0004-0000-0000-00002A000000}"/>
    <hyperlink ref="H23" r:id="rId44" xr:uid="{00000000-0004-0000-0000-00002B000000}"/>
    <hyperlink ref="I23" r:id="rId45" xr:uid="{00000000-0004-0000-0000-00002C000000}"/>
    <hyperlink ref="J23" r:id="rId46" xr:uid="{00000000-0004-0000-0000-00002D000000}"/>
    <hyperlink ref="G25" r:id="rId47" xr:uid="{00000000-0004-0000-0000-00002E000000}"/>
    <hyperlink ref="H25" r:id="rId48" xr:uid="{00000000-0004-0000-0000-00002F000000}"/>
    <hyperlink ref="I25" r:id="rId49" xr:uid="{00000000-0004-0000-0000-000030000000}"/>
    <hyperlink ref="J25" r:id="rId50" xr:uid="{00000000-0004-0000-0000-000031000000}"/>
    <hyperlink ref="G26" r:id="rId51" xr:uid="{00000000-0004-0000-0000-000032000000}"/>
    <hyperlink ref="H26" r:id="rId52" xr:uid="{00000000-0004-0000-0000-000033000000}"/>
    <hyperlink ref="I26" r:id="rId53" xr:uid="{00000000-0004-0000-0000-000034000000}"/>
    <hyperlink ref="J26" r:id="rId54" xr:uid="{00000000-0004-0000-0000-000035000000}"/>
    <hyperlink ref="G27" r:id="rId55" xr:uid="{00000000-0004-0000-0000-000036000000}"/>
    <hyperlink ref="H27" r:id="rId56" xr:uid="{00000000-0004-0000-0000-000037000000}"/>
    <hyperlink ref="I27" r:id="rId57" xr:uid="{00000000-0004-0000-0000-000038000000}"/>
    <hyperlink ref="J27" r:id="rId58" xr:uid="{00000000-0004-0000-0000-000039000000}"/>
    <hyperlink ref="G28" r:id="rId59" xr:uid="{00000000-0004-0000-0000-00003A000000}"/>
    <hyperlink ref="H28" r:id="rId60" xr:uid="{00000000-0004-0000-0000-00003B000000}"/>
    <hyperlink ref="I28" r:id="rId61" xr:uid="{00000000-0004-0000-0000-00003C000000}"/>
    <hyperlink ref="J28" r:id="rId62" xr:uid="{00000000-0004-0000-0000-00003D000000}"/>
    <hyperlink ref="G29" r:id="rId63" xr:uid="{00000000-0004-0000-0000-00003E000000}"/>
    <hyperlink ref="H29" r:id="rId64" xr:uid="{00000000-0004-0000-0000-00003F000000}"/>
    <hyperlink ref="I29" r:id="rId65" xr:uid="{00000000-0004-0000-0000-000040000000}"/>
    <hyperlink ref="J29" r:id="rId66" xr:uid="{00000000-0004-0000-0000-000041000000}"/>
    <hyperlink ref="G31" r:id="rId67" xr:uid="{00000000-0004-0000-0000-000042000000}"/>
    <hyperlink ref="G32" r:id="rId68" xr:uid="{00000000-0004-0000-0000-000043000000}"/>
    <hyperlink ref="G33" r:id="rId69" xr:uid="{00000000-0004-0000-0000-000044000000}"/>
    <hyperlink ref="G34" r:id="rId70" xr:uid="{00000000-0004-0000-0000-000045000000}"/>
    <hyperlink ref="H34" r:id="rId71" xr:uid="{00000000-0004-0000-0000-000046000000}"/>
    <hyperlink ref="I34" r:id="rId72" xr:uid="{00000000-0004-0000-0000-000047000000}"/>
    <hyperlink ref="J34" r:id="rId73" xr:uid="{00000000-0004-0000-0000-000048000000}"/>
    <hyperlink ref="G35" r:id="rId74" xr:uid="{00000000-0004-0000-0000-000049000000}"/>
    <hyperlink ref="H35" r:id="rId75" xr:uid="{00000000-0004-0000-0000-00004A000000}"/>
    <hyperlink ref="I35" r:id="rId76" xr:uid="{00000000-0004-0000-0000-00004B000000}"/>
    <hyperlink ref="J35" r:id="rId77" xr:uid="{00000000-0004-0000-0000-00004C000000}"/>
    <hyperlink ref="H36" r:id="rId78" xr:uid="{00000000-0004-0000-0000-00004D000000}"/>
    <hyperlink ref="I36" r:id="rId79" xr:uid="{00000000-0004-0000-0000-00004E000000}"/>
    <hyperlink ref="J36" r:id="rId80" xr:uid="{00000000-0004-0000-0000-00004F000000}"/>
    <hyperlink ref="H37" r:id="rId81" xr:uid="{00000000-0004-0000-0000-000050000000}"/>
    <hyperlink ref="I37" r:id="rId82" xr:uid="{00000000-0004-0000-0000-000051000000}"/>
    <hyperlink ref="J37" r:id="rId83" xr:uid="{00000000-0004-0000-0000-000052000000}"/>
    <hyperlink ref="G38" r:id="rId84" xr:uid="{00000000-0004-0000-0000-000053000000}"/>
    <hyperlink ref="G39" r:id="rId85" xr:uid="{00000000-0004-0000-0000-000054000000}"/>
    <hyperlink ref="H39" r:id="rId86" xr:uid="{00000000-0004-0000-0000-000055000000}"/>
    <hyperlink ref="I39" r:id="rId87" xr:uid="{00000000-0004-0000-0000-000056000000}"/>
    <hyperlink ref="J39" r:id="rId88" xr:uid="{00000000-0004-0000-0000-000057000000}"/>
    <hyperlink ref="G40" r:id="rId89" xr:uid="{00000000-0004-0000-0000-000058000000}"/>
    <hyperlink ref="H40" r:id="rId90" xr:uid="{00000000-0004-0000-0000-000059000000}"/>
    <hyperlink ref="I40" r:id="rId91" xr:uid="{00000000-0004-0000-0000-00005A000000}"/>
    <hyperlink ref="J40" r:id="rId92" xr:uid="{00000000-0004-0000-0000-00005B000000}"/>
    <hyperlink ref="G41" r:id="rId93" xr:uid="{00000000-0004-0000-0000-00005C000000}"/>
    <hyperlink ref="H41" r:id="rId94" xr:uid="{00000000-0004-0000-0000-00005D000000}"/>
    <hyperlink ref="I41" r:id="rId95" xr:uid="{00000000-0004-0000-0000-00005E000000}"/>
    <hyperlink ref="J41" r:id="rId96" xr:uid="{00000000-0004-0000-0000-00005F000000}"/>
    <hyperlink ref="H42" r:id="rId97" xr:uid="{00000000-0004-0000-0000-000060000000}"/>
    <hyperlink ref="I42" r:id="rId98" xr:uid="{00000000-0004-0000-0000-000061000000}"/>
    <hyperlink ref="J42" r:id="rId99" xr:uid="{00000000-0004-0000-0000-000062000000}"/>
    <hyperlink ref="G43" r:id="rId100" xr:uid="{00000000-0004-0000-0000-000063000000}"/>
    <hyperlink ref="H43" r:id="rId101" xr:uid="{00000000-0004-0000-0000-000064000000}"/>
    <hyperlink ref="I43" r:id="rId102" xr:uid="{00000000-0004-0000-0000-000065000000}"/>
    <hyperlink ref="J43" r:id="rId103" xr:uid="{00000000-0004-0000-0000-000066000000}"/>
    <hyperlink ref="G44" r:id="rId104" xr:uid="{00000000-0004-0000-0000-000067000000}"/>
    <hyperlink ref="H44" r:id="rId105" xr:uid="{00000000-0004-0000-0000-000068000000}"/>
    <hyperlink ref="I44" r:id="rId106" xr:uid="{00000000-0004-0000-0000-000069000000}"/>
    <hyperlink ref="J44" r:id="rId107" xr:uid="{00000000-0004-0000-0000-00006A000000}"/>
    <hyperlink ref="G45" r:id="rId108" xr:uid="{00000000-0004-0000-0000-00006B000000}"/>
    <hyperlink ref="H45" r:id="rId109" xr:uid="{00000000-0004-0000-0000-00006C000000}"/>
    <hyperlink ref="I45" r:id="rId110" xr:uid="{00000000-0004-0000-0000-00006D000000}"/>
    <hyperlink ref="J45" r:id="rId111" xr:uid="{00000000-0004-0000-0000-00006E000000}"/>
    <hyperlink ref="G46" r:id="rId112" xr:uid="{00000000-0004-0000-0000-00006F000000}"/>
    <hyperlink ref="G47" r:id="rId113" xr:uid="{00000000-0004-0000-0000-000070000000}"/>
    <hyperlink ref="G48" r:id="rId114" xr:uid="{00000000-0004-0000-0000-000071000000}"/>
    <hyperlink ref="G49" r:id="rId115" xr:uid="{00000000-0004-0000-0000-000072000000}"/>
    <hyperlink ref="G50" r:id="rId116" xr:uid="{00000000-0004-0000-0000-000073000000}"/>
    <hyperlink ref="G52" r:id="rId117" xr:uid="{00000000-0004-0000-0000-000074000000}"/>
    <hyperlink ref="H52" r:id="rId118" xr:uid="{00000000-0004-0000-0000-000075000000}"/>
    <hyperlink ref="I52" r:id="rId119" xr:uid="{00000000-0004-0000-0000-000076000000}"/>
    <hyperlink ref="J52" r:id="rId120" xr:uid="{00000000-0004-0000-0000-000077000000}"/>
    <hyperlink ref="G53" r:id="rId121" xr:uid="{00000000-0004-0000-0000-000078000000}"/>
    <hyperlink ref="G54" r:id="rId122" xr:uid="{00000000-0004-0000-0000-000079000000}"/>
    <hyperlink ref="G55" r:id="rId123" xr:uid="{00000000-0004-0000-0000-00007A000000}"/>
    <hyperlink ref="H55" r:id="rId124" xr:uid="{00000000-0004-0000-0000-00007B000000}"/>
    <hyperlink ref="I55" r:id="rId125" xr:uid="{00000000-0004-0000-0000-00007C000000}"/>
    <hyperlink ref="J55" r:id="rId126" xr:uid="{00000000-0004-0000-0000-00007D000000}"/>
    <hyperlink ref="H56" r:id="rId127" xr:uid="{00000000-0004-0000-0000-00007E000000}"/>
    <hyperlink ref="I56" r:id="rId128" xr:uid="{00000000-0004-0000-0000-00007F000000}"/>
    <hyperlink ref="J56" r:id="rId129" xr:uid="{00000000-0004-0000-0000-000080000000}"/>
    <hyperlink ref="G59" r:id="rId130" xr:uid="{00000000-0004-0000-0000-000081000000}"/>
    <hyperlink ref="G60" r:id="rId131" xr:uid="{00000000-0004-0000-0000-000082000000}"/>
    <hyperlink ref="H60" r:id="rId132" xr:uid="{00000000-0004-0000-0000-000083000000}"/>
    <hyperlink ref="I60" r:id="rId133" xr:uid="{00000000-0004-0000-0000-000084000000}"/>
    <hyperlink ref="J60" r:id="rId134" xr:uid="{00000000-0004-0000-0000-000085000000}"/>
    <hyperlink ref="G62" r:id="rId135" xr:uid="{00000000-0004-0000-0000-000086000000}"/>
    <hyperlink ref="G63" r:id="rId136" xr:uid="{00000000-0004-0000-0000-000087000000}"/>
    <hyperlink ref="G64" r:id="rId137" xr:uid="{00000000-0004-0000-0000-000088000000}"/>
    <hyperlink ref="G65" r:id="rId138" xr:uid="{00000000-0004-0000-0000-000089000000}"/>
    <hyperlink ref="G66" r:id="rId139" xr:uid="{00000000-0004-0000-0000-00008A000000}"/>
    <hyperlink ref="G67" r:id="rId140" xr:uid="{00000000-0004-0000-0000-00008B000000}"/>
    <hyperlink ref="G68" r:id="rId141" xr:uid="{00000000-0004-0000-0000-00008C000000}"/>
    <hyperlink ref="G69" r:id="rId142" xr:uid="{00000000-0004-0000-0000-00008D000000}"/>
    <hyperlink ref="G70" r:id="rId143" xr:uid="{00000000-0004-0000-0000-00008E000000}"/>
    <hyperlink ref="G71" r:id="rId144" xr:uid="{00000000-0004-0000-0000-00008F000000}"/>
    <hyperlink ref="G72" r:id="rId145" xr:uid="{00000000-0004-0000-0000-000090000000}"/>
    <hyperlink ref="H72" r:id="rId146" xr:uid="{00000000-0004-0000-0000-000091000000}"/>
    <hyperlink ref="I72" r:id="rId147" xr:uid="{00000000-0004-0000-0000-000092000000}"/>
    <hyperlink ref="J72" r:id="rId148" xr:uid="{00000000-0004-0000-0000-000093000000}"/>
    <hyperlink ref="G73" r:id="rId149" xr:uid="{00000000-0004-0000-0000-000094000000}"/>
    <hyperlink ref="H73" r:id="rId150" xr:uid="{00000000-0004-0000-0000-000095000000}"/>
    <hyperlink ref="I73" r:id="rId151" xr:uid="{00000000-0004-0000-0000-000096000000}"/>
    <hyperlink ref="J73" r:id="rId152" xr:uid="{00000000-0004-0000-0000-000097000000}"/>
    <hyperlink ref="G75" r:id="rId153" xr:uid="{00000000-0004-0000-0000-000098000000}"/>
    <hyperlink ref="G76" r:id="rId154" xr:uid="{00000000-0004-0000-0000-000099000000}"/>
    <hyperlink ref="G77" r:id="rId155" xr:uid="{00000000-0004-0000-0000-00009A000000}"/>
    <hyperlink ref="G78" r:id="rId156" xr:uid="{00000000-0004-0000-0000-00009B000000}"/>
    <hyperlink ref="G79" r:id="rId157" xr:uid="{00000000-0004-0000-0000-00009C000000}"/>
    <hyperlink ref="H79" r:id="rId158" xr:uid="{00000000-0004-0000-0000-00009D000000}"/>
    <hyperlink ref="I79" r:id="rId159" xr:uid="{00000000-0004-0000-0000-00009E000000}"/>
    <hyperlink ref="J79" r:id="rId160" xr:uid="{00000000-0004-0000-0000-00009F000000}"/>
    <hyperlink ref="G82" r:id="rId161" xr:uid="{00000000-0004-0000-0000-0000A0000000}"/>
    <hyperlink ref="H82" r:id="rId162" xr:uid="{00000000-0004-0000-0000-0000A1000000}"/>
    <hyperlink ref="I82" r:id="rId163" xr:uid="{00000000-0004-0000-0000-0000A2000000}"/>
    <hyperlink ref="J82" r:id="rId164" xr:uid="{00000000-0004-0000-0000-0000A3000000}"/>
    <hyperlink ref="G83" r:id="rId165" xr:uid="{00000000-0004-0000-0000-0000A4000000}"/>
    <hyperlink ref="H83" r:id="rId166" xr:uid="{00000000-0004-0000-0000-0000A5000000}"/>
    <hyperlink ref="I83" r:id="rId167" xr:uid="{00000000-0004-0000-0000-0000A6000000}"/>
    <hyperlink ref="J83" r:id="rId168" xr:uid="{00000000-0004-0000-0000-0000A7000000}"/>
    <hyperlink ref="G85" r:id="rId169" xr:uid="{00000000-0004-0000-0000-0000A8000000}"/>
    <hyperlink ref="G86" r:id="rId170" xr:uid="{00000000-0004-0000-0000-0000A9000000}"/>
    <hyperlink ref="G88" r:id="rId171" xr:uid="{00000000-0004-0000-0000-0000AA000000}"/>
    <hyperlink ref="G89" r:id="rId172" xr:uid="{00000000-0004-0000-0000-0000AB000000}"/>
    <hyperlink ref="G90" r:id="rId173" xr:uid="{00000000-0004-0000-0000-0000AC000000}"/>
    <hyperlink ref="G91" r:id="rId174" xr:uid="{00000000-0004-0000-0000-0000AD000000}"/>
    <hyperlink ref="G92" r:id="rId175" xr:uid="{00000000-0004-0000-0000-0000AE000000}"/>
    <hyperlink ref="G93" r:id="rId176" xr:uid="{00000000-0004-0000-0000-0000AF000000}"/>
    <hyperlink ref="G94" r:id="rId177" xr:uid="{00000000-0004-0000-0000-0000B0000000}"/>
    <hyperlink ref="G95" r:id="rId178" xr:uid="{00000000-0004-0000-0000-0000B1000000}"/>
    <hyperlink ref="G96" r:id="rId179" xr:uid="{00000000-0004-0000-0000-0000B2000000}"/>
    <hyperlink ref="G97" r:id="rId180" xr:uid="{00000000-0004-0000-0000-0000B3000000}"/>
    <hyperlink ref="G98" r:id="rId181" xr:uid="{00000000-0004-0000-0000-0000B4000000}"/>
    <hyperlink ref="G99" r:id="rId182" xr:uid="{00000000-0004-0000-0000-0000B5000000}"/>
    <hyperlink ref="G100" r:id="rId183" xr:uid="{00000000-0004-0000-0000-0000B6000000}"/>
    <hyperlink ref="G101" r:id="rId184" xr:uid="{00000000-0004-0000-0000-0000B7000000}"/>
    <hyperlink ref="G102" r:id="rId185" xr:uid="{00000000-0004-0000-0000-0000B8000000}"/>
    <hyperlink ref="G103" r:id="rId186" xr:uid="{00000000-0004-0000-0000-0000B9000000}"/>
    <hyperlink ref="G104" r:id="rId187" xr:uid="{00000000-0004-0000-0000-0000BA000000}"/>
    <hyperlink ref="G105" r:id="rId188" xr:uid="{00000000-0004-0000-0000-0000BB000000}"/>
    <hyperlink ref="G106" r:id="rId189" xr:uid="{00000000-0004-0000-0000-0000BC000000}"/>
    <hyperlink ref="G107" r:id="rId190" xr:uid="{00000000-0004-0000-0000-0000BD000000}"/>
    <hyperlink ref="G108" r:id="rId191" xr:uid="{00000000-0004-0000-0000-0000BE000000}"/>
    <hyperlink ref="G109" r:id="rId192" xr:uid="{00000000-0004-0000-0000-0000BF000000}"/>
    <hyperlink ref="G111" r:id="rId193" xr:uid="{00000000-0004-0000-0000-0000C0000000}"/>
    <hyperlink ref="G112" r:id="rId194" xr:uid="{00000000-0004-0000-0000-0000C1000000}"/>
    <hyperlink ref="G113" r:id="rId195" xr:uid="{00000000-0004-0000-0000-0000C2000000}"/>
    <hyperlink ref="G114" r:id="rId196" xr:uid="{00000000-0004-0000-0000-0000C3000000}"/>
    <hyperlink ref="G115" r:id="rId197" xr:uid="{00000000-0004-0000-0000-0000C4000000}"/>
    <hyperlink ref="G116" r:id="rId198" xr:uid="{00000000-0004-0000-0000-0000C5000000}"/>
    <hyperlink ref="G117" r:id="rId199" xr:uid="{00000000-0004-0000-0000-0000C6000000}"/>
    <hyperlink ref="G118" r:id="rId200" xr:uid="{00000000-0004-0000-0000-0000C7000000}"/>
    <hyperlink ref="G119" r:id="rId201" xr:uid="{00000000-0004-0000-0000-0000C8000000}"/>
    <hyperlink ref="G120" r:id="rId202" xr:uid="{00000000-0004-0000-0000-0000C9000000}"/>
    <hyperlink ref="G121" r:id="rId203" xr:uid="{00000000-0004-0000-0000-0000CA000000}"/>
    <hyperlink ref="G122" r:id="rId204" xr:uid="{00000000-0004-0000-0000-0000CB000000}"/>
    <hyperlink ref="G123" r:id="rId205" xr:uid="{00000000-0004-0000-0000-0000CC000000}"/>
    <hyperlink ref="G124" r:id="rId206" xr:uid="{00000000-0004-0000-0000-0000CD000000}"/>
    <hyperlink ref="G125" r:id="rId207" xr:uid="{00000000-0004-0000-0000-0000CE000000}"/>
    <hyperlink ref="G126" r:id="rId208" xr:uid="{00000000-0004-0000-0000-0000CF000000}"/>
    <hyperlink ref="G127" r:id="rId209" xr:uid="{00000000-0004-0000-0000-0000D0000000}"/>
    <hyperlink ref="G128" r:id="rId210" xr:uid="{00000000-0004-0000-0000-0000D1000000}"/>
    <hyperlink ref="G129" r:id="rId211" xr:uid="{00000000-0004-0000-0000-0000D2000000}"/>
    <hyperlink ref="G130" r:id="rId212" xr:uid="{00000000-0004-0000-0000-0000D3000000}"/>
    <hyperlink ref="G131" r:id="rId213" xr:uid="{00000000-0004-0000-0000-0000D4000000}"/>
    <hyperlink ref="G132" r:id="rId214" xr:uid="{00000000-0004-0000-0000-0000D5000000}"/>
    <hyperlink ref="G133" r:id="rId215" xr:uid="{00000000-0004-0000-0000-0000D6000000}"/>
    <hyperlink ref="G134" r:id="rId216" xr:uid="{00000000-0004-0000-0000-0000D7000000}"/>
    <hyperlink ref="G135" r:id="rId217" xr:uid="{00000000-0004-0000-0000-0000D8000000}"/>
    <hyperlink ref="G136" r:id="rId218" xr:uid="{00000000-0004-0000-0000-0000D9000000}"/>
    <hyperlink ref="G139" r:id="rId219" xr:uid="{00000000-0004-0000-0000-0000DA000000}"/>
    <hyperlink ref="G141" r:id="rId220" xr:uid="{00000000-0004-0000-0000-0000DB000000}"/>
    <hyperlink ref="G142" r:id="rId221" xr:uid="{00000000-0004-0000-0000-0000DC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5"/>
  <sheetViews>
    <sheetView workbookViewId="0">
      <pane ySplit="4" topLeftCell="A27" activePane="bottomLeft" state="frozen"/>
      <selection pane="bottomLeft"/>
    </sheetView>
  </sheetViews>
  <sheetFormatPr defaultRowHeight="14.25" x14ac:dyDescent="0.45"/>
  <cols>
    <col min="1" max="1" width="30" customWidth="1"/>
    <col min="2" max="2" width="34" customWidth="1"/>
    <col min="3" max="3" width="6" customWidth="1"/>
    <col min="4" max="4" width="30" customWidth="1"/>
    <col min="5" max="5" width="6" customWidth="1"/>
    <col min="6" max="6" width="18" customWidth="1"/>
    <col min="7" max="7" width="10" customWidth="1"/>
    <col min="8" max="8" width="70" customWidth="1"/>
    <col min="9" max="9" width="34" customWidth="1"/>
    <col min="10" max="10" width="14" customWidth="1"/>
  </cols>
  <sheetData>
    <row r="1" spans="1:10" ht="16.899999999999999" x14ac:dyDescent="0.5">
      <c r="A1" s="19" t="s">
        <v>503</v>
      </c>
    </row>
    <row r="2" spans="1:10" x14ac:dyDescent="0.45">
      <c r="A2" t="s">
        <v>504</v>
      </c>
    </row>
    <row r="4" spans="1:10" x14ac:dyDescent="0.45">
      <c r="A4" s="3" t="s">
        <v>505</v>
      </c>
      <c r="B4" s="4" t="s">
        <v>506</v>
      </c>
      <c r="C4" s="4" t="s">
        <v>10</v>
      </c>
      <c r="D4" s="3" t="s">
        <v>507</v>
      </c>
      <c r="E4" s="3" t="s">
        <v>10</v>
      </c>
      <c r="F4" s="4" t="s">
        <v>508</v>
      </c>
      <c r="G4" s="4" t="s">
        <v>509</v>
      </c>
      <c r="H4" s="3" t="s">
        <v>510</v>
      </c>
      <c r="I4" s="3" t="s">
        <v>511</v>
      </c>
      <c r="J4" s="3" t="s">
        <v>512</v>
      </c>
    </row>
    <row r="5" spans="1:10" ht="42.75" x14ac:dyDescent="0.45">
      <c r="A5" s="20" t="s">
        <v>513</v>
      </c>
      <c r="B5" s="20" t="s">
        <v>514</v>
      </c>
      <c r="C5" s="20">
        <v>4</v>
      </c>
      <c r="D5" s="20" t="s">
        <v>515</v>
      </c>
      <c r="E5" s="20">
        <v>4</v>
      </c>
      <c r="F5" s="20" t="s">
        <v>516</v>
      </c>
      <c r="G5" s="20" t="s">
        <v>517</v>
      </c>
      <c r="H5" s="20" t="s">
        <v>518</v>
      </c>
      <c r="I5" s="20" t="s">
        <v>519</v>
      </c>
      <c r="J5" s="20" t="s">
        <v>520</v>
      </c>
    </row>
    <row r="6" spans="1:10" ht="42.75" x14ac:dyDescent="0.45">
      <c r="A6" s="20" t="s">
        <v>521</v>
      </c>
      <c r="B6" s="20" t="s">
        <v>522</v>
      </c>
      <c r="C6" s="20">
        <v>8</v>
      </c>
      <c r="D6" s="20" t="s">
        <v>523</v>
      </c>
      <c r="E6" s="20"/>
      <c r="F6" s="20" t="s">
        <v>524</v>
      </c>
      <c r="G6" s="20" t="s">
        <v>525</v>
      </c>
      <c r="H6" s="20" t="s">
        <v>526</v>
      </c>
      <c r="I6" s="20" t="s">
        <v>527</v>
      </c>
      <c r="J6" s="20"/>
    </row>
    <row r="7" spans="1:10" ht="99.75" x14ac:dyDescent="0.45">
      <c r="A7" s="20" t="s">
        <v>528</v>
      </c>
      <c r="B7" s="20" t="s">
        <v>529</v>
      </c>
      <c r="C7" s="20">
        <v>4</v>
      </c>
      <c r="D7" s="20" t="s">
        <v>530</v>
      </c>
      <c r="E7" s="20">
        <v>4</v>
      </c>
      <c r="F7" s="20" t="s">
        <v>524</v>
      </c>
      <c r="G7" s="20" t="s">
        <v>531</v>
      </c>
      <c r="H7" s="20" t="s">
        <v>532</v>
      </c>
      <c r="I7" s="20" t="s">
        <v>533</v>
      </c>
      <c r="J7" s="20" t="s">
        <v>534</v>
      </c>
    </row>
    <row r="8" spans="1:10" ht="28.5" x14ac:dyDescent="0.45">
      <c r="A8" s="20" t="s">
        <v>535</v>
      </c>
      <c r="B8" s="20" t="s">
        <v>529</v>
      </c>
      <c r="C8" s="20">
        <v>2</v>
      </c>
      <c r="D8" s="20" t="s">
        <v>530</v>
      </c>
      <c r="E8" s="20">
        <v>2</v>
      </c>
      <c r="F8" s="20" t="s">
        <v>524</v>
      </c>
      <c r="G8" s="20" t="s">
        <v>536</v>
      </c>
      <c r="H8" s="20" t="s">
        <v>537</v>
      </c>
      <c r="I8" s="20" t="s">
        <v>533</v>
      </c>
      <c r="J8" s="20" t="s">
        <v>534</v>
      </c>
    </row>
    <row r="9" spans="1:10" ht="42.75" x14ac:dyDescent="0.45">
      <c r="A9" s="20" t="s">
        <v>538</v>
      </c>
      <c r="B9" s="20" t="s">
        <v>539</v>
      </c>
      <c r="C9" s="20">
        <v>2</v>
      </c>
      <c r="D9" s="20" t="s">
        <v>56</v>
      </c>
      <c r="E9" s="20"/>
      <c r="F9" s="20" t="s">
        <v>540</v>
      </c>
      <c r="G9" s="20" t="s">
        <v>178</v>
      </c>
      <c r="H9" s="20" t="s">
        <v>541</v>
      </c>
      <c r="I9" s="20" t="s">
        <v>542</v>
      </c>
      <c r="J9" s="20"/>
    </row>
    <row r="10" spans="1:10" ht="28.5" x14ac:dyDescent="0.45">
      <c r="A10" s="20" t="s">
        <v>543</v>
      </c>
      <c r="B10" s="20" t="s">
        <v>544</v>
      </c>
      <c r="C10" s="20">
        <v>2</v>
      </c>
      <c r="D10" s="20" t="s">
        <v>56</v>
      </c>
      <c r="E10" s="20"/>
      <c r="F10" s="20" t="s">
        <v>524</v>
      </c>
      <c r="G10" s="20" t="s">
        <v>243</v>
      </c>
      <c r="H10" s="20" t="s">
        <v>545</v>
      </c>
      <c r="I10" s="20" t="s">
        <v>546</v>
      </c>
      <c r="J10" s="20"/>
    </row>
    <row r="11" spans="1:10" ht="28.5" x14ac:dyDescent="0.45">
      <c r="A11" s="20" t="s">
        <v>547</v>
      </c>
      <c r="B11" s="20" t="s">
        <v>548</v>
      </c>
      <c r="C11" s="20">
        <v>1</v>
      </c>
      <c r="D11" s="20" t="s">
        <v>56</v>
      </c>
      <c r="E11" s="20"/>
      <c r="F11" s="20" t="s">
        <v>524</v>
      </c>
      <c r="G11" s="20" t="s">
        <v>549</v>
      </c>
      <c r="H11" s="20" t="s">
        <v>550</v>
      </c>
      <c r="I11" s="20" t="s">
        <v>546</v>
      </c>
      <c r="J11" s="20"/>
    </row>
    <row r="12" spans="1:10" ht="71.25" x14ac:dyDescent="0.45">
      <c r="A12" s="20" t="s">
        <v>551</v>
      </c>
      <c r="B12" s="20" t="s">
        <v>552</v>
      </c>
      <c r="C12" s="20">
        <v>2</v>
      </c>
      <c r="D12" s="20" t="s">
        <v>56</v>
      </c>
      <c r="E12" s="20"/>
      <c r="F12" s="20" t="s">
        <v>524</v>
      </c>
      <c r="G12" s="20" t="s">
        <v>254</v>
      </c>
      <c r="H12" s="20" t="s">
        <v>553</v>
      </c>
      <c r="I12" s="20" t="s">
        <v>554</v>
      </c>
      <c r="J12" s="20"/>
    </row>
    <row r="13" spans="1:10" ht="57" x14ac:dyDescent="0.45">
      <c r="A13" s="20" t="s">
        <v>555</v>
      </c>
      <c r="B13" s="20" t="s">
        <v>522</v>
      </c>
      <c r="C13" s="20">
        <v>4</v>
      </c>
      <c r="D13" s="20" t="s">
        <v>556</v>
      </c>
      <c r="E13" s="20"/>
      <c r="F13" s="20" t="s">
        <v>524</v>
      </c>
      <c r="G13" s="20" t="s">
        <v>557</v>
      </c>
      <c r="H13" s="20" t="s">
        <v>558</v>
      </c>
      <c r="I13" s="20" t="s">
        <v>527</v>
      </c>
      <c r="J13" s="20"/>
    </row>
    <row r="14" spans="1:10" ht="57" x14ac:dyDescent="0.45">
      <c r="A14" s="20" t="s">
        <v>559</v>
      </c>
      <c r="B14" s="20" t="s">
        <v>560</v>
      </c>
      <c r="C14" s="20">
        <v>8</v>
      </c>
      <c r="D14" s="20" t="s">
        <v>530</v>
      </c>
      <c r="E14" s="20">
        <v>8</v>
      </c>
      <c r="F14" s="20" t="s">
        <v>524</v>
      </c>
      <c r="G14" s="20" t="s">
        <v>561</v>
      </c>
      <c r="H14" s="20" t="s">
        <v>562</v>
      </c>
      <c r="I14" s="20" t="s">
        <v>563</v>
      </c>
      <c r="J14" s="20" t="s">
        <v>534</v>
      </c>
    </row>
    <row r="15" spans="1:10" ht="42.75" x14ac:dyDescent="0.45">
      <c r="A15" s="20" t="s">
        <v>564</v>
      </c>
      <c r="B15" s="20" t="s">
        <v>560</v>
      </c>
      <c r="C15" s="20">
        <v>1</v>
      </c>
      <c r="D15" s="20" t="s">
        <v>530</v>
      </c>
      <c r="E15" s="20">
        <v>1</v>
      </c>
      <c r="F15" s="20" t="s">
        <v>524</v>
      </c>
      <c r="G15" s="20" t="s">
        <v>565</v>
      </c>
      <c r="H15" s="20" t="s">
        <v>566</v>
      </c>
      <c r="I15" s="20" t="s">
        <v>563</v>
      </c>
      <c r="J15" s="20" t="s">
        <v>534</v>
      </c>
    </row>
    <row r="16" spans="1:10" ht="28.5" x14ac:dyDescent="0.45">
      <c r="A16" s="20" t="s">
        <v>567</v>
      </c>
      <c r="B16" s="20" t="s">
        <v>552</v>
      </c>
      <c r="C16" s="20">
        <v>2</v>
      </c>
      <c r="D16" s="20" t="s">
        <v>56</v>
      </c>
      <c r="E16" s="20"/>
      <c r="F16" s="20" t="s">
        <v>524</v>
      </c>
      <c r="G16" s="20" t="s">
        <v>254</v>
      </c>
      <c r="H16" s="20" t="s">
        <v>568</v>
      </c>
      <c r="I16" s="20" t="s">
        <v>554</v>
      </c>
      <c r="J16" s="20"/>
    </row>
    <row r="17" spans="1:10" ht="42.75" x14ac:dyDescent="0.45">
      <c r="A17" s="20" t="s">
        <v>569</v>
      </c>
      <c r="B17" s="20" t="s">
        <v>560</v>
      </c>
      <c r="C17" s="20">
        <v>2</v>
      </c>
      <c r="D17" s="20" t="s">
        <v>530</v>
      </c>
      <c r="E17" s="20">
        <v>2</v>
      </c>
      <c r="F17" s="20" t="s">
        <v>524</v>
      </c>
      <c r="G17" s="20" t="s">
        <v>565</v>
      </c>
      <c r="H17" s="20" t="s">
        <v>570</v>
      </c>
      <c r="I17" s="20" t="s">
        <v>563</v>
      </c>
      <c r="J17" s="20" t="s">
        <v>534</v>
      </c>
    </row>
    <row r="18" spans="1:10" ht="71.25" x14ac:dyDescent="0.45">
      <c r="A18" s="20" t="s">
        <v>571</v>
      </c>
      <c r="B18" s="20" t="s">
        <v>572</v>
      </c>
      <c r="C18" s="20">
        <v>1</v>
      </c>
      <c r="D18" s="20" t="s">
        <v>515</v>
      </c>
      <c r="E18" s="20">
        <v>1</v>
      </c>
      <c r="F18" s="20" t="s">
        <v>524</v>
      </c>
      <c r="G18" s="20" t="s">
        <v>573</v>
      </c>
      <c r="H18" s="20" t="s">
        <v>574</v>
      </c>
      <c r="I18" s="20" t="s">
        <v>575</v>
      </c>
      <c r="J18" s="20" t="s">
        <v>520</v>
      </c>
    </row>
    <row r="19" spans="1:10" ht="57" x14ac:dyDescent="0.45">
      <c r="A19" s="20" t="s">
        <v>576</v>
      </c>
      <c r="B19" s="20" t="s">
        <v>577</v>
      </c>
      <c r="C19" s="20">
        <v>2</v>
      </c>
      <c r="D19" s="20" t="s">
        <v>56</v>
      </c>
      <c r="E19" s="20"/>
      <c r="F19" s="20" t="s">
        <v>524</v>
      </c>
      <c r="G19" s="20" t="s">
        <v>249</v>
      </c>
      <c r="H19" s="20" t="s">
        <v>578</v>
      </c>
      <c r="I19" s="20" t="s">
        <v>579</v>
      </c>
      <c r="J19" s="20"/>
    </row>
    <row r="20" spans="1:10" ht="57" x14ac:dyDescent="0.45">
      <c r="A20" s="20" t="s">
        <v>576</v>
      </c>
      <c r="B20" s="20" t="s">
        <v>580</v>
      </c>
      <c r="C20" s="20">
        <v>2</v>
      </c>
      <c r="D20" s="20" t="s">
        <v>56</v>
      </c>
      <c r="E20" s="20"/>
      <c r="F20" s="20" t="s">
        <v>524</v>
      </c>
      <c r="G20" s="20" t="s">
        <v>251</v>
      </c>
      <c r="H20" s="20" t="s">
        <v>581</v>
      </c>
      <c r="I20" s="20" t="s">
        <v>582</v>
      </c>
      <c r="J20" s="20"/>
    </row>
    <row r="21" spans="1:10" ht="57" x14ac:dyDescent="0.45">
      <c r="A21" s="20" t="s">
        <v>576</v>
      </c>
      <c r="B21" s="20" t="s">
        <v>560</v>
      </c>
      <c r="C21" s="20">
        <v>3</v>
      </c>
      <c r="D21" s="20" t="s">
        <v>530</v>
      </c>
      <c r="E21" s="20">
        <v>3</v>
      </c>
      <c r="F21" s="20" t="s">
        <v>524</v>
      </c>
      <c r="G21" s="20" t="s">
        <v>565</v>
      </c>
      <c r="H21" s="20" t="s">
        <v>545</v>
      </c>
      <c r="I21" s="20" t="s">
        <v>563</v>
      </c>
      <c r="J21" s="20" t="s">
        <v>534</v>
      </c>
    </row>
    <row r="22" spans="1:10" ht="71.25" x14ac:dyDescent="0.45">
      <c r="A22" s="20" t="s">
        <v>583</v>
      </c>
      <c r="B22" s="20" t="s">
        <v>584</v>
      </c>
      <c r="C22" s="20">
        <v>2</v>
      </c>
      <c r="D22" s="20" t="s">
        <v>56</v>
      </c>
      <c r="E22" s="20"/>
      <c r="F22" s="20" t="s">
        <v>524</v>
      </c>
      <c r="G22" s="20" t="s">
        <v>585</v>
      </c>
      <c r="H22" s="20" t="s">
        <v>586</v>
      </c>
      <c r="I22" s="20" t="s">
        <v>587</v>
      </c>
      <c r="J22" s="20"/>
    </row>
    <row r="23" spans="1:10" ht="28.5" x14ac:dyDescent="0.45">
      <c r="A23" s="20" t="s">
        <v>588</v>
      </c>
      <c r="B23" s="20" t="s">
        <v>580</v>
      </c>
      <c r="C23" s="20">
        <v>2</v>
      </c>
      <c r="D23" s="20" t="s">
        <v>56</v>
      </c>
      <c r="E23" s="20"/>
      <c r="F23" s="20" t="s">
        <v>524</v>
      </c>
      <c r="G23" s="20" t="s">
        <v>251</v>
      </c>
      <c r="H23" s="20" t="s">
        <v>589</v>
      </c>
      <c r="I23" s="20" t="s">
        <v>582</v>
      </c>
      <c r="J23" s="20"/>
    </row>
    <row r="24" spans="1:10" ht="28.5" x14ac:dyDescent="0.45">
      <c r="A24" s="20" t="s">
        <v>588</v>
      </c>
      <c r="B24" s="20" t="s">
        <v>572</v>
      </c>
      <c r="C24" s="20">
        <v>2</v>
      </c>
      <c r="D24" s="20" t="s">
        <v>56</v>
      </c>
      <c r="E24" s="20"/>
      <c r="F24" s="20" t="s">
        <v>524</v>
      </c>
      <c r="G24" s="20" t="s">
        <v>246</v>
      </c>
      <c r="H24" s="20" t="s">
        <v>545</v>
      </c>
      <c r="I24" s="20" t="s">
        <v>575</v>
      </c>
      <c r="J24" s="20"/>
    </row>
    <row r="25" spans="1:10" ht="28.5" x14ac:dyDescent="0.45">
      <c r="A25" s="20" t="s">
        <v>588</v>
      </c>
      <c r="B25" s="20" t="s">
        <v>560</v>
      </c>
      <c r="C25" s="20">
        <v>3</v>
      </c>
      <c r="D25" s="20" t="s">
        <v>530</v>
      </c>
      <c r="E25" s="20">
        <v>3</v>
      </c>
      <c r="F25" s="20" t="s">
        <v>524</v>
      </c>
      <c r="G25" s="20" t="s">
        <v>565</v>
      </c>
      <c r="H25" s="20" t="s">
        <v>590</v>
      </c>
      <c r="I25" s="20" t="s">
        <v>563</v>
      </c>
      <c r="J25" s="20" t="s">
        <v>534</v>
      </c>
    </row>
    <row r="26" spans="1:10" ht="28.5" x14ac:dyDescent="0.45">
      <c r="A26" s="20" t="s">
        <v>591</v>
      </c>
      <c r="B26" s="20" t="s">
        <v>584</v>
      </c>
      <c r="C26" s="20">
        <v>2</v>
      </c>
      <c r="D26" s="20" t="s">
        <v>56</v>
      </c>
      <c r="E26" s="20"/>
      <c r="F26" s="20" t="s">
        <v>524</v>
      </c>
      <c r="G26" s="20" t="s">
        <v>283</v>
      </c>
      <c r="H26" s="20" t="s">
        <v>592</v>
      </c>
      <c r="I26" s="20" t="s">
        <v>587</v>
      </c>
      <c r="J26" s="20"/>
    </row>
    <row r="27" spans="1:10" ht="57" x14ac:dyDescent="0.45">
      <c r="A27" s="20" t="s">
        <v>593</v>
      </c>
      <c r="B27" s="20" t="s">
        <v>584</v>
      </c>
      <c r="C27" s="20">
        <v>3</v>
      </c>
      <c r="D27" s="20" t="s">
        <v>56</v>
      </c>
      <c r="E27" s="20"/>
      <c r="F27" s="20" t="s">
        <v>524</v>
      </c>
      <c r="G27" s="20" t="s">
        <v>283</v>
      </c>
      <c r="H27" s="20" t="s">
        <v>594</v>
      </c>
      <c r="I27" s="20" t="s">
        <v>587</v>
      </c>
      <c r="J27" s="20"/>
    </row>
    <row r="28" spans="1:10" ht="42.75" x14ac:dyDescent="0.45">
      <c r="A28" s="20" t="s">
        <v>595</v>
      </c>
      <c r="B28" s="20" t="s">
        <v>560</v>
      </c>
      <c r="C28" s="20">
        <v>4</v>
      </c>
      <c r="D28" s="20" t="s">
        <v>530</v>
      </c>
      <c r="E28" s="20">
        <v>4</v>
      </c>
      <c r="F28" s="20" t="s">
        <v>524</v>
      </c>
      <c r="G28" s="20" t="s">
        <v>565</v>
      </c>
      <c r="H28" s="20" t="s">
        <v>596</v>
      </c>
      <c r="I28" s="20" t="s">
        <v>563</v>
      </c>
      <c r="J28" s="20" t="s">
        <v>534</v>
      </c>
    </row>
    <row r="29" spans="1:10" ht="71.25" x14ac:dyDescent="0.45">
      <c r="A29" s="20" t="s">
        <v>597</v>
      </c>
      <c r="B29" s="20" t="s">
        <v>598</v>
      </c>
      <c r="C29" s="20">
        <v>1</v>
      </c>
      <c r="D29" s="20" t="s">
        <v>599</v>
      </c>
      <c r="E29" s="20"/>
      <c r="F29" s="20" t="s">
        <v>524</v>
      </c>
      <c r="G29" s="20" t="s">
        <v>280</v>
      </c>
      <c r="H29" s="20" t="s">
        <v>600</v>
      </c>
      <c r="I29" s="20" t="s">
        <v>601</v>
      </c>
      <c r="J29" s="20"/>
    </row>
    <row r="30" spans="1:10" ht="57" x14ac:dyDescent="0.45">
      <c r="A30" s="20" t="s">
        <v>602</v>
      </c>
      <c r="B30" s="20" t="s">
        <v>584</v>
      </c>
      <c r="C30" s="20">
        <v>3</v>
      </c>
      <c r="D30" s="20" t="s">
        <v>56</v>
      </c>
      <c r="E30" s="20"/>
      <c r="F30" s="20" t="s">
        <v>524</v>
      </c>
      <c r="G30" s="20" t="s">
        <v>283</v>
      </c>
      <c r="H30" s="20" t="s">
        <v>594</v>
      </c>
      <c r="I30" s="20" t="s">
        <v>587</v>
      </c>
      <c r="J30" s="20"/>
    </row>
    <row r="31" spans="1:10" ht="42.75" x14ac:dyDescent="0.45">
      <c r="A31" s="20" t="s">
        <v>603</v>
      </c>
      <c r="B31" s="20" t="s">
        <v>560</v>
      </c>
      <c r="C31" s="20">
        <v>4</v>
      </c>
      <c r="D31" s="20" t="s">
        <v>530</v>
      </c>
      <c r="E31" s="20">
        <v>4</v>
      </c>
      <c r="F31" s="20" t="s">
        <v>524</v>
      </c>
      <c r="G31" s="20" t="s">
        <v>565</v>
      </c>
      <c r="H31" s="20" t="s">
        <v>596</v>
      </c>
      <c r="I31" s="20" t="s">
        <v>563</v>
      </c>
      <c r="J31" s="20" t="s">
        <v>534</v>
      </c>
    </row>
    <row r="32" spans="1:10" ht="71.25" x14ac:dyDescent="0.45">
      <c r="A32" s="20" t="s">
        <v>604</v>
      </c>
      <c r="B32" s="20" t="s">
        <v>598</v>
      </c>
      <c r="C32" s="20">
        <v>1</v>
      </c>
      <c r="D32" s="20" t="s">
        <v>599</v>
      </c>
      <c r="E32" s="20"/>
      <c r="F32" s="20" t="s">
        <v>524</v>
      </c>
      <c r="G32" s="20" t="s">
        <v>280</v>
      </c>
      <c r="H32" s="20" t="s">
        <v>600</v>
      </c>
      <c r="I32" s="20" t="s">
        <v>601</v>
      </c>
      <c r="J32" s="20"/>
    </row>
    <row r="33" spans="1:10" ht="28.5" x14ac:dyDescent="0.45">
      <c r="A33" s="20" t="s">
        <v>605</v>
      </c>
      <c r="B33" s="20" t="s">
        <v>606</v>
      </c>
      <c r="C33" s="20">
        <v>4</v>
      </c>
      <c r="D33" s="20" t="s">
        <v>515</v>
      </c>
      <c r="E33" s="20">
        <v>4</v>
      </c>
      <c r="F33" s="20" t="s">
        <v>524</v>
      </c>
      <c r="G33" s="20" t="s">
        <v>607</v>
      </c>
      <c r="H33" s="20" t="s">
        <v>608</v>
      </c>
      <c r="I33" s="20" t="s">
        <v>609</v>
      </c>
      <c r="J33" s="20" t="s">
        <v>520</v>
      </c>
    </row>
    <row r="34" spans="1:10" ht="28.5" x14ac:dyDescent="0.45">
      <c r="A34" s="20" t="s">
        <v>610</v>
      </c>
      <c r="B34" s="20" t="s">
        <v>606</v>
      </c>
      <c r="C34" s="20">
        <v>4</v>
      </c>
      <c r="D34" s="20" t="s">
        <v>515</v>
      </c>
      <c r="E34" s="20">
        <v>4</v>
      </c>
      <c r="F34" s="20" t="s">
        <v>524</v>
      </c>
      <c r="G34" s="20" t="s">
        <v>607</v>
      </c>
      <c r="H34" s="20" t="s">
        <v>608</v>
      </c>
      <c r="I34" s="20" t="s">
        <v>609</v>
      </c>
      <c r="J34" s="20" t="s">
        <v>520</v>
      </c>
    </row>
    <row r="35" spans="1:10" ht="42.75" x14ac:dyDescent="0.45">
      <c r="A35" s="20" t="s">
        <v>611</v>
      </c>
      <c r="B35" s="20" t="s">
        <v>612</v>
      </c>
      <c r="C35" s="20">
        <v>2</v>
      </c>
      <c r="D35" s="20" t="s">
        <v>56</v>
      </c>
      <c r="E35" s="20"/>
      <c r="F35" s="20" t="s">
        <v>524</v>
      </c>
      <c r="G35" s="20" t="s">
        <v>243</v>
      </c>
      <c r="H35" s="20" t="s">
        <v>613</v>
      </c>
      <c r="I35" s="20" t="s">
        <v>546</v>
      </c>
      <c r="J35" s="20"/>
    </row>
    <row r="36" spans="1:10" ht="57" x14ac:dyDescent="0.45">
      <c r="A36" s="20" t="s">
        <v>614</v>
      </c>
      <c r="B36" s="20" t="s">
        <v>572</v>
      </c>
      <c r="C36" s="20">
        <v>2</v>
      </c>
      <c r="D36" s="20" t="s">
        <v>56</v>
      </c>
      <c r="E36" s="20"/>
      <c r="F36" s="20" t="s">
        <v>524</v>
      </c>
      <c r="G36" s="20" t="s">
        <v>246</v>
      </c>
      <c r="H36" s="20" t="s">
        <v>615</v>
      </c>
      <c r="I36" s="20" t="s">
        <v>575</v>
      </c>
      <c r="J36" s="20"/>
    </row>
    <row r="37" spans="1:10" ht="57" x14ac:dyDescent="0.45">
      <c r="A37" s="20" t="s">
        <v>616</v>
      </c>
      <c r="B37" s="20" t="s">
        <v>598</v>
      </c>
      <c r="C37" s="20">
        <v>2</v>
      </c>
      <c r="D37" s="20" t="s">
        <v>530</v>
      </c>
      <c r="E37" s="20">
        <v>2</v>
      </c>
      <c r="F37" s="20" t="s">
        <v>524</v>
      </c>
      <c r="G37" s="20" t="s">
        <v>617</v>
      </c>
      <c r="H37" s="20" t="s">
        <v>618</v>
      </c>
      <c r="I37" s="20" t="s">
        <v>601</v>
      </c>
      <c r="J37" s="20" t="s">
        <v>534</v>
      </c>
    </row>
    <row r="38" spans="1:10" ht="42.75" x14ac:dyDescent="0.45">
      <c r="A38" s="20" t="s">
        <v>619</v>
      </c>
      <c r="B38" s="20" t="s">
        <v>560</v>
      </c>
      <c r="C38" s="20">
        <v>2</v>
      </c>
      <c r="D38" s="20" t="s">
        <v>530</v>
      </c>
      <c r="E38" s="20">
        <v>2</v>
      </c>
      <c r="F38" s="20" t="s">
        <v>524</v>
      </c>
      <c r="G38" s="20" t="s">
        <v>565</v>
      </c>
      <c r="H38" s="20" t="s">
        <v>620</v>
      </c>
      <c r="I38" s="20" t="s">
        <v>563</v>
      </c>
      <c r="J38" s="20" t="s">
        <v>534</v>
      </c>
    </row>
    <row r="39" spans="1:10" ht="42.75" x14ac:dyDescent="0.45">
      <c r="A39" s="20" t="s">
        <v>621</v>
      </c>
      <c r="B39" s="20" t="s">
        <v>572</v>
      </c>
      <c r="C39" s="20">
        <v>1</v>
      </c>
      <c r="D39" s="20" t="s">
        <v>56</v>
      </c>
      <c r="E39" s="20"/>
      <c r="F39" s="20" t="s">
        <v>524</v>
      </c>
      <c r="G39" s="20" t="s">
        <v>246</v>
      </c>
      <c r="H39" s="20" t="s">
        <v>622</v>
      </c>
      <c r="I39" s="20" t="s">
        <v>575</v>
      </c>
      <c r="J39" s="20"/>
    </row>
    <row r="40" spans="1:10" ht="28.5" x14ac:dyDescent="0.45">
      <c r="A40" s="20" t="s">
        <v>623</v>
      </c>
      <c r="B40" s="20" t="s">
        <v>612</v>
      </c>
      <c r="C40" s="20">
        <v>4</v>
      </c>
      <c r="D40" s="20" t="s">
        <v>56</v>
      </c>
      <c r="E40" s="20"/>
      <c r="F40" s="20" t="s">
        <v>524</v>
      </c>
      <c r="G40" s="20" t="s">
        <v>243</v>
      </c>
      <c r="H40" s="20" t="s">
        <v>624</v>
      </c>
      <c r="I40" s="20" t="s">
        <v>546</v>
      </c>
      <c r="J40" s="20"/>
    </row>
    <row r="41" spans="1:10" ht="42.75" x14ac:dyDescent="0.45">
      <c r="A41" s="20" t="s">
        <v>625</v>
      </c>
      <c r="B41" s="20" t="s">
        <v>598</v>
      </c>
      <c r="C41" s="20">
        <v>2</v>
      </c>
      <c r="D41" s="20" t="s">
        <v>530</v>
      </c>
      <c r="E41" s="20">
        <v>2</v>
      </c>
      <c r="F41" s="20" t="s">
        <v>524</v>
      </c>
      <c r="G41" s="20" t="s">
        <v>617</v>
      </c>
      <c r="H41" s="20" t="s">
        <v>618</v>
      </c>
      <c r="I41" s="20" t="s">
        <v>601</v>
      </c>
      <c r="J41" s="20" t="s">
        <v>534</v>
      </c>
    </row>
    <row r="42" spans="1:10" ht="42.75" x14ac:dyDescent="0.45">
      <c r="A42" s="20" t="s">
        <v>626</v>
      </c>
      <c r="B42" s="20" t="s">
        <v>560</v>
      </c>
      <c r="C42" s="20">
        <v>2</v>
      </c>
      <c r="D42" s="20" t="s">
        <v>530</v>
      </c>
      <c r="E42" s="20">
        <v>2</v>
      </c>
      <c r="F42" s="20" t="s">
        <v>524</v>
      </c>
      <c r="G42" s="20" t="s">
        <v>565</v>
      </c>
      <c r="H42" s="20" t="s">
        <v>620</v>
      </c>
      <c r="I42" s="20" t="s">
        <v>563</v>
      </c>
      <c r="J42" s="20" t="s">
        <v>534</v>
      </c>
    </row>
    <row r="43" spans="1:10" ht="42.75" x14ac:dyDescent="0.45">
      <c r="A43" s="20" t="s">
        <v>627</v>
      </c>
      <c r="B43" s="20" t="s">
        <v>572</v>
      </c>
      <c r="C43" s="20">
        <v>1</v>
      </c>
      <c r="D43" s="20" t="s">
        <v>56</v>
      </c>
      <c r="E43" s="20"/>
      <c r="F43" s="20" t="s">
        <v>524</v>
      </c>
      <c r="G43" s="20" t="s">
        <v>246</v>
      </c>
      <c r="H43" s="20" t="s">
        <v>622</v>
      </c>
      <c r="I43" s="20" t="s">
        <v>575</v>
      </c>
      <c r="J43" s="20"/>
    </row>
    <row r="44" spans="1:10" ht="42.75" x14ac:dyDescent="0.45">
      <c r="A44" s="20" t="s">
        <v>628</v>
      </c>
      <c r="B44" s="20" t="s">
        <v>629</v>
      </c>
      <c r="C44" s="20">
        <v>2</v>
      </c>
      <c r="D44" s="20" t="s">
        <v>56</v>
      </c>
      <c r="E44" s="20"/>
      <c r="F44" s="20" t="s">
        <v>524</v>
      </c>
      <c r="G44" s="20" t="s">
        <v>239</v>
      </c>
      <c r="H44" s="20" t="s">
        <v>630</v>
      </c>
      <c r="I44" s="20" t="s">
        <v>631</v>
      </c>
      <c r="J44" s="20"/>
    </row>
    <row r="45" spans="1:10" ht="42.75" x14ac:dyDescent="0.45">
      <c r="A45" s="20" t="s">
        <v>632</v>
      </c>
      <c r="B45" s="20" t="s">
        <v>633</v>
      </c>
      <c r="C45" s="20">
        <v>1</v>
      </c>
      <c r="D45" s="20" t="s">
        <v>56</v>
      </c>
      <c r="E45" s="20"/>
      <c r="F45" s="20" t="s">
        <v>524</v>
      </c>
      <c r="G45" s="20" t="s">
        <v>220</v>
      </c>
      <c r="H45" s="20" t="s">
        <v>634</v>
      </c>
      <c r="I45" s="20" t="s">
        <v>633</v>
      </c>
      <c r="J45" s="20"/>
    </row>
    <row r="46" spans="1:10" ht="28.5" x14ac:dyDescent="0.45">
      <c r="A46" s="20" t="s">
        <v>635</v>
      </c>
      <c r="B46" s="20" t="s">
        <v>606</v>
      </c>
      <c r="C46" s="20">
        <v>4</v>
      </c>
      <c r="D46" s="20" t="s">
        <v>515</v>
      </c>
      <c r="E46" s="20">
        <v>4</v>
      </c>
      <c r="F46" s="20" t="s">
        <v>524</v>
      </c>
      <c r="G46" s="20" t="s">
        <v>607</v>
      </c>
      <c r="H46" s="20" t="s">
        <v>636</v>
      </c>
      <c r="I46" s="20" t="s">
        <v>609</v>
      </c>
      <c r="J46" s="20" t="s">
        <v>520</v>
      </c>
    </row>
    <row r="47" spans="1:10" ht="42.75" x14ac:dyDescent="0.45">
      <c r="A47" s="20" t="s">
        <v>637</v>
      </c>
      <c r="B47" s="20" t="s">
        <v>560</v>
      </c>
      <c r="C47" s="20">
        <v>4</v>
      </c>
      <c r="D47" s="20" t="s">
        <v>530</v>
      </c>
      <c r="E47" s="20">
        <v>4</v>
      </c>
      <c r="F47" s="20" t="s">
        <v>524</v>
      </c>
      <c r="G47" s="20" t="s">
        <v>565</v>
      </c>
      <c r="H47" s="20" t="s">
        <v>638</v>
      </c>
      <c r="I47" s="20" t="s">
        <v>563</v>
      </c>
      <c r="J47" s="20" t="s">
        <v>534</v>
      </c>
    </row>
    <row r="48" spans="1:10" ht="28.5" x14ac:dyDescent="0.45">
      <c r="A48" s="20" t="s">
        <v>639</v>
      </c>
      <c r="B48" s="20" t="s">
        <v>640</v>
      </c>
      <c r="C48" s="20">
        <v>1</v>
      </c>
      <c r="D48" s="20" t="s">
        <v>56</v>
      </c>
      <c r="E48" s="20"/>
      <c r="F48" s="20" t="s">
        <v>524</v>
      </c>
      <c r="G48" s="20" t="s">
        <v>272</v>
      </c>
      <c r="H48" s="20" t="s">
        <v>641</v>
      </c>
      <c r="I48" s="20" t="s">
        <v>642</v>
      </c>
      <c r="J48" s="20"/>
    </row>
    <row r="49" spans="1:10" ht="42.75" x14ac:dyDescent="0.45">
      <c r="A49" s="20" t="s">
        <v>643</v>
      </c>
      <c r="B49" s="20" t="s">
        <v>612</v>
      </c>
      <c r="C49" s="20">
        <v>4</v>
      </c>
      <c r="D49" s="20" t="s">
        <v>56</v>
      </c>
      <c r="E49" s="20"/>
      <c r="F49" s="20" t="s">
        <v>524</v>
      </c>
      <c r="G49" s="20" t="s">
        <v>243</v>
      </c>
      <c r="H49" s="20" t="s">
        <v>545</v>
      </c>
      <c r="I49" s="20" t="s">
        <v>546</v>
      </c>
      <c r="J49" s="20"/>
    </row>
    <row r="50" spans="1:10" ht="28.5" x14ac:dyDescent="0.45">
      <c r="A50" s="20" t="s">
        <v>644</v>
      </c>
      <c r="B50" s="20" t="s">
        <v>552</v>
      </c>
      <c r="C50" s="20">
        <v>2</v>
      </c>
      <c r="D50" s="20" t="s">
        <v>56</v>
      </c>
      <c r="E50" s="20"/>
      <c r="F50" s="20" t="s">
        <v>524</v>
      </c>
      <c r="G50" s="20" t="s">
        <v>254</v>
      </c>
      <c r="H50" s="20" t="s">
        <v>645</v>
      </c>
      <c r="I50" s="20" t="s">
        <v>554</v>
      </c>
      <c r="J50" s="20"/>
    </row>
    <row r="51" spans="1:10" ht="28.5" x14ac:dyDescent="0.45">
      <c r="A51" s="20" t="s">
        <v>646</v>
      </c>
      <c r="B51" s="20" t="s">
        <v>629</v>
      </c>
      <c r="C51" s="20">
        <v>2</v>
      </c>
      <c r="D51" s="20" t="s">
        <v>56</v>
      </c>
      <c r="E51" s="20"/>
      <c r="F51" s="20" t="s">
        <v>524</v>
      </c>
      <c r="G51" s="20" t="s">
        <v>239</v>
      </c>
      <c r="H51" s="20" t="s">
        <v>545</v>
      </c>
      <c r="I51" s="20" t="s">
        <v>631</v>
      </c>
      <c r="J51" s="20"/>
    </row>
    <row r="52" spans="1:10" ht="42.75" x14ac:dyDescent="0.45">
      <c r="A52" s="20" t="s">
        <v>647</v>
      </c>
      <c r="B52" s="20" t="s">
        <v>629</v>
      </c>
      <c r="C52" s="20">
        <v>1</v>
      </c>
      <c r="D52" s="20" t="s">
        <v>56</v>
      </c>
      <c r="E52" s="20"/>
      <c r="F52" s="20" t="s">
        <v>524</v>
      </c>
      <c r="G52" s="20" t="s">
        <v>239</v>
      </c>
      <c r="H52" s="20" t="s">
        <v>648</v>
      </c>
      <c r="I52" s="20" t="s">
        <v>631</v>
      </c>
      <c r="J52" s="20"/>
    </row>
    <row r="53" spans="1:10" ht="28.5" x14ac:dyDescent="0.45">
      <c r="A53" s="20" t="s">
        <v>649</v>
      </c>
      <c r="B53" s="20" t="s">
        <v>612</v>
      </c>
      <c r="C53" s="20">
        <v>2</v>
      </c>
      <c r="D53" s="20" t="s">
        <v>56</v>
      </c>
      <c r="E53" s="20"/>
      <c r="F53" s="20" t="s">
        <v>524</v>
      </c>
      <c r="G53" s="20" t="s">
        <v>243</v>
      </c>
      <c r="H53" s="20" t="s">
        <v>545</v>
      </c>
      <c r="I53" s="20" t="s">
        <v>546</v>
      </c>
      <c r="J53" s="20"/>
    </row>
    <row r="54" spans="1:10" x14ac:dyDescent="0.45">
      <c r="A54" s="20" t="s">
        <v>650</v>
      </c>
      <c r="B54" s="20" t="s">
        <v>612</v>
      </c>
      <c r="C54" s="20">
        <v>2</v>
      </c>
      <c r="D54" s="20" t="s">
        <v>56</v>
      </c>
      <c r="E54" s="20"/>
      <c r="F54" s="20" t="s">
        <v>524</v>
      </c>
      <c r="G54" s="20" t="s">
        <v>243</v>
      </c>
      <c r="H54" s="20" t="s">
        <v>545</v>
      </c>
      <c r="I54" s="20" t="s">
        <v>546</v>
      </c>
      <c r="J54" s="20"/>
    </row>
    <row r="55" spans="1:10" ht="42.75" x14ac:dyDescent="0.45">
      <c r="A55" s="20" t="s">
        <v>651</v>
      </c>
      <c r="B55" s="20" t="s">
        <v>572</v>
      </c>
      <c r="C55" s="20">
        <v>4</v>
      </c>
      <c r="D55" s="20" t="s">
        <v>56</v>
      </c>
      <c r="E55" s="20"/>
      <c r="F55" s="20" t="s">
        <v>524</v>
      </c>
      <c r="G55" s="20" t="s">
        <v>246</v>
      </c>
      <c r="H55" s="20" t="s">
        <v>652</v>
      </c>
      <c r="I55" s="20" t="s">
        <v>575</v>
      </c>
      <c r="J55" s="20"/>
    </row>
    <row r="56" spans="1:10" ht="42.75" x14ac:dyDescent="0.45">
      <c r="A56" s="20" t="s">
        <v>653</v>
      </c>
      <c r="B56" s="20" t="s">
        <v>606</v>
      </c>
      <c r="C56" s="20">
        <v>1</v>
      </c>
      <c r="D56" s="20" t="s">
        <v>654</v>
      </c>
      <c r="E56" s="20"/>
      <c r="F56" s="20" t="s">
        <v>524</v>
      </c>
      <c r="G56" s="20" t="s">
        <v>655</v>
      </c>
      <c r="H56" s="20" t="s">
        <v>656</v>
      </c>
      <c r="I56" s="20" t="s">
        <v>609</v>
      </c>
      <c r="J56" s="20"/>
    </row>
    <row r="57" spans="1:10" ht="28.5" x14ac:dyDescent="0.45">
      <c r="A57" s="20" t="s">
        <v>657</v>
      </c>
      <c r="B57" s="20" t="s">
        <v>658</v>
      </c>
      <c r="C57" s="20">
        <v>3</v>
      </c>
      <c r="D57" s="20" t="s">
        <v>659</v>
      </c>
      <c r="E57" s="20">
        <v>3</v>
      </c>
      <c r="F57" s="20" t="s">
        <v>524</v>
      </c>
      <c r="G57" s="20" t="s">
        <v>660</v>
      </c>
      <c r="H57" s="20" t="s">
        <v>661</v>
      </c>
      <c r="I57" s="20" t="s">
        <v>662</v>
      </c>
      <c r="J57" s="20" t="s">
        <v>663</v>
      </c>
    </row>
    <row r="58" spans="1:10" ht="42.75" x14ac:dyDescent="0.45">
      <c r="A58" s="20" t="s">
        <v>664</v>
      </c>
      <c r="B58" s="20" t="s">
        <v>572</v>
      </c>
      <c r="C58" s="20">
        <v>4</v>
      </c>
      <c r="D58" s="20" t="s">
        <v>56</v>
      </c>
      <c r="E58" s="20"/>
      <c r="F58" s="20" t="s">
        <v>524</v>
      </c>
      <c r="G58" s="20" t="s">
        <v>246</v>
      </c>
      <c r="H58" s="20" t="s">
        <v>665</v>
      </c>
      <c r="I58" s="20" t="s">
        <v>575</v>
      </c>
      <c r="J58" s="20"/>
    </row>
    <row r="59" spans="1:10" ht="28.5" x14ac:dyDescent="0.45">
      <c r="A59" s="20" t="s">
        <v>666</v>
      </c>
      <c r="B59" s="20" t="s">
        <v>658</v>
      </c>
      <c r="C59" s="20">
        <v>4</v>
      </c>
      <c r="D59" s="20" t="s">
        <v>56</v>
      </c>
      <c r="E59" s="20"/>
      <c r="F59" s="20" t="s">
        <v>524</v>
      </c>
      <c r="G59" s="20" t="s">
        <v>229</v>
      </c>
      <c r="H59" s="20" t="s">
        <v>667</v>
      </c>
      <c r="I59" s="20" t="s">
        <v>662</v>
      </c>
      <c r="J59" s="20"/>
    </row>
    <row r="60" spans="1:10" ht="42.75" x14ac:dyDescent="0.45">
      <c r="A60" s="20" t="s">
        <v>668</v>
      </c>
      <c r="B60" s="20" t="s">
        <v>606</v>
      </c>
      <c r="C60" s="20">
        <v>1</v>
      </c>
      <c r="D60" s="20" t="s">
        <v>669</v>
      </c>
      <c r="E60" s="20">
        <v>1</v>
      </c>
      <c r="F60" s="20" t="s">
        <v>524</v>
      </c>
      <c r="G60" s="20" t="s">
        <v>670</v>
      </c>
      <c r="H60" s="20" t="s">
        <v>671</v>
      </c>
      <c r="I60" s="20" t="s">
        <v>609</v>
      </c>
      <c r="J60" s="20" t="s">
        <v>672</v>
      </c>
    </row>
    <row r="61" spans="1:10" ht="28.5" x14ac:dyDescent="0.45">
      <c r="A61" s="20" t="s">
        <v>673</v>
      </c>
      <c r="B61" s="20" t="s">
        <v>629</v>
      </c>
      <c r="C61" s="20">
        <v>1</v>
      </c>
      <c r="D61" s="20" t="s">
        <v>56</v>
      </c>
      <c r="E61" s="20"/>
      <c r="F61" s="20" t="s">
        <v>524</v>
      </c>
      <c r="G61" s="20" t="s">
        <v>239</v>
      </c>
      <c r="H61" s="20" t="s">
        <v>674</v>
      </c>
      <c r="I61" s="20" t="s">
        <v>631</v>
      </c>
      <c r="J61" s="20"/>
    </row>
    <row r="62" spans="1:10" ht="42.75" x14ac:dyDescent="0.45">
      <c r="A62" s="20" t="s">
        <v>675</v>
      </c>
      <c r="B62" s="20" t="s">
        <v>676</v>
      </c>
      <c r="C62" s="20"/>
      <c r="D62" s="20" t="s">
        <v>56</v>
      </c>
      <c r="E62" s="20"/>
      <c r="F62" s="20" t="s">
        <v>56</v>
      </c>
      <c r="G62" s="20" t="s">
        <v>433</v>
      </c>
      <c r="H62" s="20" t="s">
        <v>677</v>
      </c>
      <c r="I62" s="20"/>
      <c r="J62" s="20"/>
    </row>
    <row r="63" spans="1:10" ht="42.75" x14ac:dyDescent="0.45">
      <c r="A63" s="20" t="s">
        <v>678</v>
      </c>
      <c r="B63" s="20" t="s">
        <v>577</v>
      </c>
      <c r="C63" s="20">
        <v>3</v>
      </c>
      <c r="D63" s="20" t="s">
        <v>679</v>
      </c>
      <c r="E63" s="20"/>
      <c r="F63" s="20" t="s">
        <v>524</v>
      </c>
      <c r="G63" s="20" t="s">
        <v>249</v>
      </c>
      <c r="H63" s="20" t="s">
        <v>680</v>
      </c>
      <c r="I63" s="20" t="s">
        <v>579</v>
      </c>
      <c r="J63" s="20"/>
    </row>
    <row r="64" spans="1:10" ht="28.5" x14ac:dyDescent="0.45">
      <c r="A64" s="20" t="s">
        <v>681</v>
      </c>
      <c r="B64" s="20" t="s">
        <v>682</v>
      </c>
      <c r="C64" s="20">
        <v>1</v>
      </c>
      <c r="D64" s="20" t="s">
        <v>56</v>
      </c>
      <c r="E64" s="20"/>
      <c r="F64" s="20" t="s">
        <v>524</v>
      </c>
      <c r="G64" s="20" t="s">
        <v>257</v>
      </c>
      <c r="H64" s="20" t="s">
        <v>683</v>
      </c>
      <c r="I64" s="20" t="s">
        <v>684</v>
      </c>
      <c r="J64" s="20"/>
    </row>
    <row r="65" spans="1:10" ht="28.5" x14ac:dyDescent="0.45">
      <c r="A65" s="20" t="s">
        <v>681</v>
      </c>
      <c r="B65" s="20" t="s">
        <v>685</v>
      </c>
      <c r="C65" s="20">
        <v>1</v>
      </c>
      <c r="D65" s="20" t="s">
        <v>56</v>
      </c>
      <c r="E65" s="20"/>
      <c r="F65" s="20" t="s">
        <v>524</v>
      </c>
      <c r="G65" s="20" t="s">
        <v>182</v>
      </c>
      <c r="H65" s="20" t="s">
        <v>686</v>
      </c>
      <c r="I65" s="20"/>
      <c r="J65" s="2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tabSelected="1" workbookViewId="0">
      <selection activeCell="C30" sqref="C30"/>
    </sheetView>
  </sheetViews>
  <sheetFormatPr defaultRowHeight="14.25" x14ac:dyDescent="0.45"/>
  <cols>
    <col min="1" max="1" width="40" customWidth="1"/>
    <col min="2" max="2" width="24" customWidth="1"/>
    <col min="3" max="3" width="26" customWidth="1"/>
    <col min="4" max="4" width="80" customWidth="1"/>
  </cols>
  <sheetData>
    <row r="1" spans="1:4" ht="16.899999999999999" x14ac:dyDescent="0.5">
      <c r="A1" s="19" t="s">
        <v>687</v>
      </c>
    </row>
    <row r="2" spans="1:4" x14ac:dyDescent="0.45">
      <c r="A2" t="s">
        <v>688</v>
      </c>
    </row>
    <row r="4" spans="1:4" ht="26.25" x14ac:dyDescent="0.45">
      <c r="A4" s="3" t="s">
        <v>689</v>
      </c>
      <c r="B4" s="4" t="s">
        <v>690</v>
      </c>
      <c r="C4" s="4" t="s">
        <v>691</v>
      </c>
      <c r="D4" s="3" t="s">
        <v>510</v>
      </c>
    </row>
    <row r="5" spans="1:4" x14ac:dyDescent="0.45">
      <c r="A5" s="20" t="s">
        <v>519</v>
      </c>
      <c r="B5" s="20">
        <f>SUMIF('Fixings by part'!$I:$I,A5,'Fixings by part'!$C:$C)</f>
        <v>4</v>
      </c>
      <c r="C5" s="20">
        <v>4</v>
      </c>
      <c r="D5" s="20" t="s">
        <v>692</v>
      </c>
    </row>
    <row r="6" spans="1:4" x14ac:dyDescent="0.45">
      <c r="A6" s="20" t="s">
        <v>546</v>
      </c>
      <c r="B6" s="20">
        <f>SUMIF('Fixings by part'!$I:$I,A6,'Fixings by part'!$C:$C)</f>
        <v>17</v>
      </c>
      <c r="C6" s="20">
        <v>21</v>
      </c>
      <c r="D6" s="20" t="s">
        <v>693</v>
      </c>
    </row>
    <row r="7" spans="1:4" x14ac:dyDescent="0.45">
      <c r="A7" s="20" t="s">
        <v>554</v>
      </c>
      <c r="B7" s="20">
        <f>SUMIF('Fixings by part'!$I:$I,A7,'Fixings by part'!$C:$C)</f>
        <v>6</v>
      </c>
      <c r="C7" s="20">
        <v>4</v>
      </c>
      <c r="D7" s="20" t="s">
        <v>694</v>
      </c>
    </row>
    <row r="8" spans="1:4" x14ac:dyDescent="0.45">
      <c r="A8" s="20" t="s">
        <v>542</v>
      </c>
      <c r="B8" s="20">
        <f>SUMIF('Fixings by part'!$I:$I,A8,'Fixings by part'!$C:$C)</f>
        <v>2</v>
      </c>
      <c r="C8" s="20">
        <v>2</v>
      </c>
      <c r="D8" s="20" t="s">
        <v>695</v>
      </c>
    </row>
    <row r="9" spans="1:4" x14ac:dyDescent="0.45">
      <c r="A9" s="20" t="s">
        <v>520</v>
      </c>
      <c r="B9" s="20">
        <f>SUMIF('Fixings by part'!$J:$J,A9,'Fixings by part'!$E:$E)</f>
        <v>17</v>
      </c>
      <c r="C9" s="20">
        <v>16</v>
      </c>
      <c r="D9" s="20" t="s">
        <v>696</v>
      </c>
    </row>
    <row r="10" spans="1:4" x14ac:dyDescent="0.45">
      <c r="A10" s="20" t="s">
        <v>527</v>
      </c>
      <c r="B10" s="20">
        <f>SUMIF('Fixings by part'!$I:$I,A10,'Fixings by part'!$C:$C)</f>
        <v>12</v>
      </c>
      <c r="C10" s="20">
        <v>22</v>
      </c>
      <c r="D10" s="20" t="s">
        <v>697</v>
      </c>
    </row>
    <row r="11" spans="1:4" x14ac:dyDescent="0.45">
      <c r="A11" s="20" t="s">
        <v>533</v>
      </c>
      <c r="B11" s="20">
        <f>SUMIF('Fixings by part'!$I:$I,A11,'Fixings by part'!$C:$C)</f>
        <v>6</v>
      </c>
      <c r="C11" s="20">
        <v>6</v>
      </c>
      <c r="D11" s="20" t="s">
        <v>698</v>
      </c>
    </row>
    <row r="12" spans="1:4" x14ac:dyDescent="0.45">
      <c r="A12" s="20" t="s">
        <v>563</v>
      </c>
      <c r="B12" s="20">
        <f>SUMIF('Fixings by part'!$I:$I,A12,'Fixings by part'!$C:$C)</f>
        <v>33</v>
      </c>
      <c r="C12" s="20">
        <v>18</v>
      </c>
      <c r="D12" s="20" t="s">
        <v>699</v>
      </c>
    </row>
    <row r="13" spans="1:4" x14ac:dyDescent="0.45">
      <c r="A13" s="20" t="s">
        <v>534</v>
      </c>
      <c r="B13" s="20">
        <f>SUMIF('Fixings by part'!$J:$J,A13,'Fixings by part'!$E:$E)</f>
        <v>43</v>
      </c>
      <c r="C13" s="20">
        <v>50</v>
      </c>
      <c r="D13" s="20" t="s">
        <v>700</v>
      </c>
    </row>
    <row r="14" spans="1:4" x14ac:dyDescent="0.45">
      <c r="A14" s="20" t="s">
        <v>575</v>
      </c>
      <c r="B14" s="20">
        <f>SUMIF('Fixings by part'!$I:$I,A14,'Fixings by part'!$C:$C)</f>
        <v>15</v>
      </c>
      <c r="C14" s="20">
        <v>2</v>
      </c>
      <c r="D14" s="20" t="s">
        <v>701</v>
      </c>
    </row>
    <row r="15" spans="1:4" x14ac:dyDescent="0.45">
      <c r="A15" s="20" t="s">
        <v>582</v>
      </c>
      <c r="B15" s="20">
        <f>SUMIF('Fixings by part'!$I:$I,A15,'Fixings by part'!$C:$C)</f>
        <v>4</v>
      </c>
      <c r="C15" s="20">
        <v>4</v>
      </c>
      <c r="D15" s="20" t="s">
        <v>702</v>
      </c>
    </row>
    <row r="16" spans="1:4" x14ac:dyDescent="0.45">
      <c r="A16" s="20" t="s">
        <v>587</v>
      </c>
      <c r="B16" s="20">
        <f>SUMIF('Fixings by part'!$I:$I,A16,'Fixings by part'!$C:$C)</f>
        <v>10</v>
      </c>
      <c r="C16" s="20"/>
      <c r="D16" s="20" t="s">
        <v>703</v>
      </c>
    </row>
    <row r="17" spans="1:4" x14ac:dyDescent="0.45">
      <c r="A17" s="20" t="s">
        <v>579</v>
      </c>
      <c r="B17" s="20">
        <f>SUMIF('Fixings by part'!$I:$I,A17,'Fixings by part'!$C:$C)</f>
        <v>5</v>
      </c>
      <c r="C17" s="20"/>
      <c r="D17" s="20" t="s">
        <v>704</v>
      </c>
    </row>
    <row r="18" spans="1:4" x14ac:dyDescent="0.45">
      <c r="A18" s="20" t="s">
        <v>601</v>
      </c>
      <c r="B18" s="20">
        <f>SUMIF('Fixings by part'!$I:$I,A18,'Fixings by part'!$C:$C)</f>
        <v>6</v>
      </c>
      <c r="C18" s="20">
        <v>4</v>
      </c>
      <c r="D18" s="20" t="s">
        <v>705</v>
      </c>
    </row>
    <row r="19" spans="1:4" x14ac:dyDescent="0.45">
      <c r="A19" s="20" t="s">
        <v>609</v>
      </c>
      <c r="B19" s="20">
        <f>SUMIF('Fixings by part'!$I:$I,A19,'Fixings by part'!$C:$C)</f>
        <v>14</v>
      </c>
      <c r="C19" s="20">
        <v>12</v>
      </c>
      <c r="D19" s="20" t="s">
        <v>706</v>
      </c>
    </row>
    <row r="20" spans="1:4" x14ac:dyDescent="0.45">
      <c r="A20" s="20" t="s">
        <v>633</v>
      </c>
      <c r="B20" s="20">
        <f>SUMIF('Fixings by part'!$I:$I,A20,'Fixings by part'!$C:$C)</f>
        <v>1</v>
      </c>
      <c r="C20" s="20"/>
      <c r="D20" s="20" t="s">
        <v>707</v>
      </c>
    </row>
    <row r="21" spans="1:4" x14ac:dyDescent="0.45">
      <c r="A21" s="20" t="s">
        <v>642</v>
      </c>
      <c r="B21" s="20">
        <f>SUMIF('Fixings by part'!$I:$I,A21,'Fixings by part'!$C:$C)</f>
        <v>1</v>
      </c>
      <c r="C21" s="20">
        <v>26</v>
      </c>
      <c r="D21" s="20" t="s">
        <v>708</v>
      </c>
    </row>
    <row r="22" spans="1:4" x14ac:dyDescent="0.45">
      <c r="A22" s="20" t="s">
        <v>631</v>
      </c>
      <c r="B22" s="20">
        <f>SUMIF('Fixings by part'!$I:$I,A22,'Fixings by part'!$C:$C)</f>
        <v>6</v>
      </c>
      <c r="C22" s="20">
        <v>11</v>
      </c>
      <c r="D22" s="20" t="s">
        <v>709</v>
      </c>
    </row>
    <row r="23" spans="1:4" x14ac:dyDescent="0.45">
      <c r="A23" s="20" t="s">
        <v>662</v>
      </c>
      <c r="B23" s="20">
        <f>SUMIF('Fixings by part'!$I:$I,A23,'Fixings by part'!$C:$C)</f>
        <v>7</v>
      </c>
      <c r="C23" s="20"/>
      <c r="D23" s="20" t="s">
        <v>710</v>
      </c>
    </row>
    <row r="24" spans="1:4" x14ac:dyDescent="0.45">
      <c r="A24" s="20" t="s">
        <v>663</v>
      </c>
      <c r="B24" s="20">
        <f>SUMIF('Fixings by part'!$J:$J,A24,'Fixings by part'!$E:$E)</f>
        <v>3</v>
      </c>
      <c r="C24" s="20">
        <v>4</v>
      </c>
      <c r="D24" s="20" t="s">
        <v>711</v>
      </c>
    </row>
    <row r="25" spans="1:4" x14ac:dyDescent="0.45">
      <c r="A25" s="20" t="s">
        <v>672</v>
      </c>
      <c r="B25" s="20">
        <v>2</v>
      </c>
      <c r="C25" s="20">
        <v>2</v>
      </c>
      <c r="D25" s="20" t="s">
        <v>712</v>
      </c>
    </row>
    <row r="26" spans="1:4" x14ac:dyDescent="0.45">
      <c r="A26" s="20" t="s">
        <v>684</v>
      </c>
      <c r="B26" s="20">
        <f>SUMIF('Fixings by part'!$I:$I,A26,'Fixings by part'!$C:$C)</f>
        <v>1</v>
      </c>
      <c r="C26" s="20"/>
      <c r="D26" s="20" t="s">
        <v>713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showGridLines="0" workbookViewId="0"/>
  </sheetViews>
  <sheetFormatPr defaultRowHeight="14.25" x14ac:dyDescent="0.45"/>
  <cols>
    <col min="1" max="1" width="14" customWidth="1"/>
    <col min="2" max="2" width="7" customWidth="1"/>
    <col min="3" max="3" width="10" customWidth="1"/>
    <col min="4" max="4" width="24" customWidth="1"/>
    <col min="5" max="5" width="12" customWidth="1"/>
    <col min="6" max="6" width="16" customWidth="1"/>
    <col min="7" max="7" width="18" customWidth="1"/>
    <col min="8" max="8" width="44" customWidth="1"/>
    <col min="9" max="9" width="40" customWidth="1"/>
  </cols>
  <sheetData>
    <row r="1" spans="1:9" ht="20.65" x14ac:dyDescent="0.6">
      <c r="A1" s="1" t="s">
        <v>502</v>
      </c>
    </row>
    <row r="2" spans="1:9" x14ac:dyDescent="0.45">
      <c r="A2" s="17" t="s">
        <v>714</v>
      </c>
    </row>
    <row r="4" spans="1:9" ht="26.25" x14ac:dyDescent="0.45">
      <c r="A4" s="10" t="s">
        <v>715</v>
      </c>
      <c r="B4" s="10" t="s">
        <v>716</v>
      </c>
      <c r="C4" s="10" t="s">
        <v>717</v>
      </c>
      <c r="D4" s="10" t="s">
        <v>718</v>
      </c>
      <c r="E4" s="10" t="s">
        <v>719</v>
      </c>
      <c r="F4" s="10" t="s">
        <v>720</v>
      </c>
      <c r="G4" s="10" t="s">
        <v>721</v>
      </c>
      <c r="H4" s="10" t="s">
        <v>722</v>
      </c>
      <c r="I4" s="10" t="s">
        <v>510</v>
      </c>
    </row>
    <row r="5" spans="1:9" ht="51" x14ac:dyDescent="0.45">
      <c r="A5" s="11" t="s">
        <v>144</v>
      </c>
      <c r="B5" s="11">
        <v>4</v>
      </c>
      <c r="C5" s="11">
        <v>24</v>
      </c>
      <c r="D5" s="11" t="s">
        <v>723</v>
      </c>
      <c r="E5" s="11">
        <v>515</v>
      </c>
      <c r="F5" s="11" t="s">
        <v>724</v>
      </c>
      <c r="G5" s="11" t="s">
        <v>725</v>
      </c>
      <c r="H5" s="11" t="s">
        <v>726</v>
      </c>
      <c r="I5" s="11" t="s">
        <v>727</v>
      </c>
    </row>
    <row r="6" spans="1:9" ht="51" x14ac:dyDescent="0.45">
      <c r="A6" s="11" t="s">
        <v>141</v>
      </c>
      <c r="B6" s="11">
        <v>4</v>
      </c>
      <c r="C6" s="11">
        <v>24</v>
      </c>
      <c r="D6" s="11" t="s">
        <v>723</v>
      </c>
      <c r="E6" s="11">
        <v>920</v>
      </c>
      <c r="F6" s="11" t="s">
        <v>724</v>
      </c>
      <c r="G6" s="11" t="s">
        <v>725</v>
      </c>
      <c r="H6" s="11" t="s">
        <v>726</v>
      </c>
      <c r="I6" s="11" t="s">
        <v>728</v>
      </c>
    </row>
    <row r="7" spans="1:9" ht="76.5" x14ac:dyDescent="0.45">
      <c r="A7" s="18" t="s">
        <v>405</v>
      </c>
      <c r="B7" s="18" t="s">
        <v>729</v>
      </c>
      <c r="C7" s="18">
        <v>26</v>
      </c>
      <c r="D7" s="18" t="s">
        <v>730</v>
      </c>
      <c r="E7" s="18">
        <v>2100</v>
      </c>
      <c r="F7" s="18" t="s">
        <v>731</v>
      </c>
      <c r="G7" s="18" t="s">
        <v>731</v>
      </c>
      <c r="H7" s="18" t="s">
        <v>732</v>
      </c>
      <c r="I7" s="18" t="s">
        <v>733</v>
      </c>
    </row>
    <row r="8" spans="1:9" ht="76.5" x14ac:dyDescent="0.45">
      <c r="A8" s="18" t="s">
        <v>158</v>
      </c>
      <c r="B8" s="18">
        <v>3</v>
      </c>
      <c r="C8" s="18" t="s">
        <v>734</v>
      </c>
      <c r="D8" s="18" t="s">
        <v>735</v>
      </c>
      <c r="E8" s="18">
        <v>920</v>
      </c>
      <c r="F8" s="18" t="s">
        <v>731</v>
      </c>
      <c r="G8" s="18" t="s">
        <v>731</v>
      </c>
      <c r="H8" s="18" t="s">
        <v>732</v>
      </c>
      <c r="I8" s="18" t="s">
        <v>736</v>
      </c>
    </row>
    <row r="9" spans="1:9" ht="63.75" x14ac:dyDescent="0.45">
      <c r="A9" s="11" t="s">
        <v>308</v>
      </c>
      <c r="B9" s="11" t="s">
        <v>737</v>
      </c>
      <c r="C9" s="11">
        <v>26</v>
      </c>
      <c r="D9" s="11" t="s">
        <v>738</v>
      </c>
      <c r="E9" s="11">
        <v>2100</v>
      </c>
      <c r="F9" s="11" t="s">
        <v>56</v>
      </c>
      <c r="G9" s="11" t="s">
        <v>56</v>
      </c>
      <c r="H9" s="11" t="s">
        <v>739</v>
      </c>
      <c r="I9" s="11" t="s">
        <v>740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BOM</vt:lpstr>
      <vt:lpstr>Fixings by part</vt:lpstr>
      <vt:lpstr>Fixings totals</vt:lpstr>
      <vt:lpstr>Cable leads</vt:lpstr>
      <vt:lpstr>BOM!Print_Titles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edward ward</cp:lastModifiedBy>
  <dcterms:created xsi:type="dcterms:W3CDTF">2026-10-06T18:30:31Z</dcterms:created>
  <dcterms:modified xsi:type="dcterms:W3CDTF">2026-10-24T22:22:47Z</dcterms:modified>
</cp:coreProperties>
</file>