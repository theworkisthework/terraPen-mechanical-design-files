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OM" sheetId="1" state="visible" r:id="rId1"/>
    <sheet xmlns:r="http://schemas.openxmlformats.org/officeDocument/2006/relationships" name="Fixings by part" sheetId="2" state="visible" r:id="rId2"/>
    <sheet xmlns:r="http://schemas.openxmlformats.org/officeDocument/2006/relationships" name="Fixings totals" sheetId="3" state="visible" r:id="rId3"/>
    <sheet xmlns:r="http://schemas.openxmlformats.org/officeDocument/2006/relationships" name="Cable leads" sheetId="4" state="visible" r:id="rId4"/>
  </sheets>
  <definedNames>
    <definedName name="_xlnm.Print_Titles" localSheetId="0">'BOM'!$5:$5</definedName>
  </definedNames>
  <calcPr calcId="124519" fullCalcOnLoad="1"/>
</workbook>
</file>

<file path=xl/styles.xml><?xml version="1.0" encoding="utf-8"?>
<styleSheet xmlns="http://schemas.openxmlformats.org/spreadsheetml/2006/main">
  <numFmts count="1">
    <numFmt numFmtId="164" formatCode="£#,##0.00"/>
  </numFmts>
  <fonts count="23">
    <font>
      <name val="Calibri"/>
      <family val="2"/>
      <color theme="1"/>
      <sz val="11"/>
      <scheme val="minor"/>
    </font>
    <font>
      <name val="Arial"/>
      <b val="1"/>
      <color rgb="001F2937"/>
      <sz val="16"/>
    </font>
    <font>
      <name val="Arial"/>
      <i val="1"/>
      <color rgb="004B5563"/>
      <sz val="9"/>
    </font>
    <font>
      <name val="Arial"/>
      <b val="1"/>
      <color rgb="00111827"/>
      <sz val="9"/>
    </font>
    <font>
      <name val="Arial"/>
      <color rgb="00111827"/>
      <sz val="9"/>
    </font>
    <font>
      <name val="Arial"/>
      <b val="1"/>
      <color rgb="00FFFFFF"/>
      <sz val="10"/>
    </font>
    <font>
      <name val="Arial"/>
      <b val="1"/>
      <color rgb="001F2937"/>
      <sz val="10"/>
    </font>
    <font>
      <name val="Arial"/>
      <color rgb="000B5FFF"/>
      <sz val="10"/>
      <u val="single"/>
    </font>
    <font>
      <name val="Arial"/>
      <color rgb="00111827"/>
      <sz val="10"/>
    </font>
    <font>
      <name val="Arial"/>
      <b val="1"/>
      <color rgb="00111827"/>
      <sz val="10"/>
    </font>
    <font>
      <name val="Arial"/>
      <b val="1"/>
      <color rgb="001F2937"/>
      <sz val="12"/>
    </font>
    <font>
      <name val="Arial"/>
      <sz val="9"/>
    </font>
    <font>
      <name val="Arial"/>
      <sz val="10"/>
    </font>
    <font>
      <name val="Arial"/>
      <color rgb="004B5563"/>
      <sz val="9"/>
    </font>
    <font>
      <name val="Arial"/>
      <strike val="1"/>
      <color rgb="009CA3AF"/>
      <sz val="10"/>
    </font>
    <font>
      <name val="Arial"/>
      <strike val="0"/>
      <color rgb="00111827"/>
      <sz val="10"/>
    </font>
    <font>
      <name val="Arial"/>
      <b val="1"/>
      <strike val="0"/>
      <color rgb="001F2937"/>
      <sz val="10"/>
    </font>
    <font>
      <name val="Arial"/>
      <strike val="0"/>
      <color rgb="000B5FFF"/>
      <sz val="10"/>
      <u val="single"/>
    </font>
    <font>
      <name val="Arial"/>
      <b val="1"/>
      <strike val="0"/>
      <color rgb="00111827"/>
      <sz val="9"/>
    </font>
    <font>
      <name val="Arial"/>
      <b val="1"/>
      <strike val="0"/>
      <color rgb="00111827"/>
      <sz val="10"/>
    </font>
    <font>
      <name val="Arial"/>
      <strike val="0"/>
      <color rgb="004B5563"/>
      <sz val="9"/>
    </font>
    <font>
      <name val="Arial"/>
      <b val="1"/>
      <sz val="10"/>
    </font>
    <font>
      <b val="1"/>
      <sz val="13"/>
    </font>
  </fonts>
  <fills count="9">
    <fill>
      <patternFill/>
    </fill>
    <fill>
      <patternFill patternType="gray125"/>
    </fill>
    <fill>
      <patternFill patternType="solid">
        <fgColor rgb="00E7F5EC"/>
      </patternFill>
    </fill>
    <fill>
      <patternFill patternType="solid">
        <fgColor rgb="00FFF4D6"/>
      </patternFill>
    </fill>
    <fill>
      <patternFill patternType="solid">
        <fgColor rgb="00FDE2E2"/>
      </patternFill>
    </fill>
    <fill>
      <patternFill patternType="solid">
        <fgColor rgb="00FFE8CC"/>
      </patternFill>
    </fill>
    <fill>
      <patternFill patternType="solid">
        <fgColor rgb="00E5E7EB"/>
      </patternFill>
    </fill>
    <fill>
      <patternFill patternType="solid">
        <fgColor rgb="001F2937"/>
      </patternFill>
    </fill>
    <fill>
      <patternFill patternType="solid">
        <fgColor rgb="00D1D5DB"/>
      </patternFill>
    </fill>
  </fills>
  <borders count="2">
    <border>
      <left/>
      <right/>
      <top/>
      <bottom/>
      <diagonal/>
    </border>
    <border>
      <bottom style="thin">
        <color rgb="00D1D5DB"/>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4" fillId="2" borderId="0" applyAlignment="1" pivotButton="0" quotePrefix="0" xfId="0">
      <alignment horizontal="center"/>
    </xf>
    <xf numFmtId="0" fontId="4" fillId="3" borderId="0" applyAlignment="1" pivotButton="0" quotePrefix="0" xfId="0">
      <alignment horizontal="center"/>
    </xf>
    <xf numFmtId="0" fontId="4" fillId="4" borderId="0" applyAlignment="1" pivotButton="0" quotePrefix="0" xfId="0">
      <alignment horizontal="center"/>
    </xf>
    <xf numFmtId="0" fontId="4" fillId="5" borderId="0" applyAlignment="1" pivotButton="0" quotePrefix="0" xfId="0">
      <alignment horizontal="center"/>
    </xf>
    <xf numFmtId="0" fontId="4" fillId="6" borderId="0" applyAlignment="1" pivotButton="0" quotePrefix="0" xfId="0">
      <alignment horizontal="center"/>
    </xf>
    <xf numFmtId="0" fontId="5" fillId="7" borderId="0" applyAlignment="1" pivotButton="0" quotePrefix="0" xfId="0">
      <alignment horizontal="center" vertical="center" wrapText="1"/>
    </xf>
    <xf numFmtId="0" fontId="5" fillId="7" borderId="0" applyAlignment="1" pivotButton="0" quotePrefix="0" xfId="0">
      <alignment horizontal="left" vertical="center" wrapText="1"/>
    </xf>
    <xf numFmtId="0" fontId="6" fillId="8" borderId="0" pivotButton="0" quotePrefix="0" xfId="0"/>
    <xf numFmtId="0" fontId="8" fillId="0" borderId="1" applyAlignment="1" pivotButton="0" quotePrefix="0" xfId="0">
      <alignment horizontal="center" vertical="top" wrapText="1"/>
    </xf>
    <xf numFmtId="0" fontId="8" fillId="0" borderId="1" applyAlignment="1" pivotButton="0" quotePrefix="0" xfId="0">
      <alignment horizontal="left" vertical="top" wrapText="1"/>
    </xf>
    <xf numFmtId="0" fontId="7" fillId="0" borderId="1" applyAlignment="1" pivotButton="0" quotePrefix="0" xfId="0">
      <alignment horizontal="center" vertical="top" wrapText="1"/>
    </xf>
    <xf numFmtId="164" fontId="8" fillId="0" borderId="1" applyAlignment="1" pivotButton="0" quotePrefix="0" xfId="0">
      <alignment horizontal="center" vertical="top" wrapText="1"/>
    </xf>
    <xf numFmtId="0" fontId="3" fillId="2" borderId="1" applyAlignment="1" pivotButton="0" quotePrefix="0" xfId="0">
      <alignment horizontal="center" vertical="top" wrapText="1"/>
    </xf>
    <xf numFmtId="0" fontId="9" fillId="0" borderId="1" applyAlignment="1" pivotButton="0" quotePrefix="0" xfId="0">
      <alignment horizontal="center" vertical="top" wrapText="1"/>
    </xf>
    <xf numFmtId="0" fontId="3" fillId="5" borderId="1" applyAlignment="1" pivotButton="0" quotePrefix="0" xfId="0">
      <alignment horizontal="center" vertical="top" wrapText="1"/>
    </xf>
    <xf numFmtId="0" fontId="3" fillId="4" borderId="1" applyAlignment="1" pivotButton="0" quotePrefix="0" xfId="0">
      <alignment horizontal="center" vertical="top" wrapText="1"/>
    </xf>
    <xf numFmtId="0" fontId="3" fillId="3" borderId="1" applyAlignment="1" pivotButton="0" quotePrefix="0" xfId="0">
      <alignment horizontal="center" vertical="top" wrapText="1"/>
    </xf>
    <xf numFmtId="0" fontId="3" fillId="6" borderId="1" applyAlignment="1" pivotButton="0" quotePrefix="0" xfId="0">
      <alignment horizontal="center" vertical="top" wrapText="1"/>
    </xf>
    <xf numFmtId="0" fontId="9" fillId="0" borderId="0" pivotButton="0" quotePrefix="0" xfId="0"/>
    <xf numFmtId="164" fontId="9" fillId="0" borderId="0" pivotButton="0" quotePrefix="0" xfId="0"/>
    <xf numFmtId="0" fontId="2" fillId="0" borderId="0" pivotButton="0" quotePrefix="0" xfId="0"/>
    <xf numFmtId="0" fontId="5" fillId="7" borderId="0" applyAlignment="1" pivotButton="0" quotePrefix="0" xfId="0">
      <alignment vertical="center" wrapText="1"/>
    </xf>
    <xf numFmtId="0" fontId="8" fillId="0"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xf numFmtId="0" fontId="3" fillId="2" borderId="1" applyAlignment="1" pivotButton="0" quotePrefix="0" xfId="0">
      <alignment vertical="top" wrapText="1"/>
    </xf>
    <xf numFmtId="0" fontId="10" fillId="0" borderId="0" pivotButton="0" quotePrefix="0" xfId="0"/>
    <xf numFmtId="0" fontId="8" fillId="0" borderId="0" pivotButton="0" quotePrefix="0" xfId="0"/>
    <xf numFmtId="0" fontId="5" fillId="7" borderId="0" pivotButton="0" quotePrefix="0" xfId="0"/>
    <xf numFmtId="0" fontId="11" fillId="2" borderId="0" applyAlignment="1" pivotButton="0" quotePrefix="0" xfId="0">
      <alignment horizontal="left"/>
    </xf>
    <xf numFmtId="0" fontId="11" fillId="3" borderId="0" applyAlignment="1" pivotButton="0" quotePrefix="0" xfId="0">
      <alignment horizontal="left"/>
    </xf>
    <xf numFmtId="0" fontId="4" fillId="0" borderId="0" applyAlignment="1" pivotButton="0" quotePrefix="0" xfId="0">
      <alignment horizontal="center"/>
    </xf>
    <xf numFmtId="0" fontId="11" fillId="4" borderId="0" applyAlignment="1" pivotButton="0" quotePrefix="0" xfId="0">
      <alignment horizontal="left"/>
    </xf>
    <xf numFmtId="0" fontId="11" fillId="5" borderId="0" applyAlignment="1" pivotButton="0" quotePrefix="0" xfId="0">
      <alignment horizontal="left"/>
    </xf>
    <xf numFmtId="0" fontId="11" fillId="6" borderId="0" applyAlignment="1" pivotButton="0" quotePrefix="0" xfId="0">
      <alignment horizontal="left"/>
    </xf>
    <xf numFmtId="0" fontId="12" fillId="0" borderId="1" applyAlignment="1" pivotButton="0" quotePrefix="0" xfId="0">
      <alignment horizontal="center" vertical="top" wrapText="1"/>
    </xf>
    <xf numFmtId="0" fontId="13" fillId="0" borderId="0" pivotButton="0" quotePrefix="0" xfId="0"/>
    <xf numFmtId="0" fontId="11" fillId="6" borderId="0" pivotButton="0" quotePrefix="0" xfId="0"/>
    <xf numFmtId="0" fontId="15" fillId="0" borderId="1" applyAlignment="1" pivotButton="0" quotePrefix="0" xfId="0">
      <alignment horizontal="center" vertical="top" wrapText="1"/>
    </xf>
    <xf numFmtId="0" fontId="14" fillId="0" borderId="1" applyAlignment="1" pivotButton="0" quotePrefix="0" xfId="0">
      <alignment horizontal="left" vertical="top" wrapText="1"/>
    </xf>
    <xf numFmtId="0" fontId="14" fillId="0" borderId="1" applyAlignment="1" pivotButton="0" quotePrefix="0" xfId="0">
      <alignment horizontal="center" vertical="top" wrapText="1"/>
    </xf>
    <xf numFmtId="0" fontId="16" fillId="8" borderId="0" pivotButton="0" quotePrefix="0" xfId="0"/>
    <xf numFmtId="0" fontId="15" fillId="0" borderId="1" applyAlignment="1" pivotButton="0" quotePrefix="0" xfId="0">
      <alignment horizontal="left" vertical="top" wrapText="1"/>
    </xf>
    <xf numFmtId="0" fontId="19" fillId="0" borderId="1" applyAlignment="1" pivotButton="0" quotePrefix="0" xfId="0">
      <alignment horizontal="center" vertical="top" wrapText="1"/>
    </xf>
    <xf numFmtId="0" fontId="17" fillId="0" borderId="1" applyAlignment="1" pivotButton="0" quotePrefix="0" xfId="0">
      <alignment horizontal="center" vertical="top" wrapText="1"/>
    </xf>
    <xf numFmtId="164" fontId="15" fillId="0" borderId="1" applyAlignment="1" pivotButton="0" quotePrefix="0" xfId="0">
      <alignment horizontal="center" vertical="top" wrapText="1"/>
    </xf>
    <xf numFmtId="0" fontId="18" fillId="5" borderId="1" applyAlignment="1" pivotButton="0" quotePrefix="0" xfId="0">
      <alignment horizontal="center" vertical="top" wrapText="1"/>
    </xf>
    <xf numFmtId="0" fontId="18" fillId="2" borderId="1" applyAlignment="1" pivotButton="0" quotePrefix="0" xfId="0">
      <alignment horizontal="center" vertical="top" wrapText="1"/>
    </xf>
    <xf numFmtId="0" fontId="18" fillId="6" borderId="1" applyAlignment="1" pivotButton="0" quotePrefix="0" xfId="0">
      <alignment horizontal="center" vertical="top" wrapText="1"/>
    </xf>
    <xf numFmtId="0" fontId="18" fillId="4" borderId="1" applyAlignment="1" pivotButton="0" quotePrefix="0" xfId="0">
      <alignment horizontal="center" vertical="top" wrapText="1"/>
    </xf>
    <xf numFmtId="0" fontId="19" fillId="0" borderId="0" pivotButton="0" quotePrefix="0" xfId="0"/>
    <xf numFmtId="164" fontId="19" fillId="0" borderId="0" pivotButton="0" quotePrefix="0" xfId="0"/>
    <xf numFmtId="0" fontId="20" fillId="0" borderId="0" pivotButton="0" quotePrefix="0" xfId="0"/>
    <xf numFmtId="0" fontId="15" fillId="0" borderId="1" applyAlignment="1" pivotButton="0" quotePrefix="0" xfId="0">
      <alignment vertical="top" wrapText="1"/>
    </xf>
    <xf numFmtId="0" fontId="18" fillId="4" borderId="1" applyAlignment="1" pivotButton="0" quotePrefix="0" xfId="0">
      <alignment vertical="top" wrapText="1"/>
    </xf>
    <xf numFmtId="0" fontId="11" fillId="0" borderId="0" pivotButton="0" quotePrefix="0" xfId="0"/>
    <xf numFmtId="0" fontId="21" fillId="0" borderId="0" applyAlignment="1" pivotButton="0" quotePrefix="0" xfId="0">
      <alignment horizontal="right"/>
    </xf>
    <xf numFmtId="0" fontId="9" fillId="0" borderId="0" applyAlignment="1" pivotButton="0" quotePrefix="0" xfId="0">
      <alignment horizontal="right"/>
    </xf>
    <xf numFmtId="0" fontId="12" fillId="0" borderId="1" applyAlignment="1" pivotButton="0" quotePrefix="0" xfId="0">
      <alignment vertical="top" wrapText="1"/>
    </xf>
    <xf numFmtId="0" fontId="22"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luminium-profile.co.uk/black-ir-20x20-profile-ir37015blk/" TargetMode="External" Id="rId1"/><Relationship Type="http://schemas.openxmlformats.org/officeDocument/2006/relationships/hyperlink" Target="https://www.ebay.co.uk/sch/i.html?_nkw=2020+T+slot+aluminium+extrusion+760mm+cut+to+length" TargetMode="External" Id="rId2"/><Relationship Type="http://schemas.openxmlformats.org/officeDocument/2006/relationships/hyperlink" Target="https://www.amazon.co.uk/s?k=2020+T+slot+aluminium+extrusion+760mm+cut+to+length" TargetMode="External" Id="rId3"/><Relationship Type="http://schemas.openxmlformats.org/officeDocument/2006/relationships/hyperlink" Target="https://www.aliexpress.com/wholesale?SearchText=2020+T+slot+aluminium+extrusion+760mm+cut+to+length" TargetMode="External" Id="rId4"/><Relationship Type="http://schemas.openxmlformats.org/officeDocument/2006/relationships/hyperlink" Target="https://www.aluminium-profile.co.uk/black-ir-20x20-profile-ir37015blk/" TargetMode="External" Id="rId5"/><Relationship Type="http://schemas.openxmlformats.org/officeDocument/2006/relationships/hyperlink" Target="https://www.ebay.co.uk/sch/i.html?_nkw=2020+T+slot+aluminium+extrusion+560mm+cut+to+length" TargetMode="External" Id="rId6"/><Relationship Type="http://schemas.openxmlformats.org/officeDocument/2006/relationships/hyperlink" Target="https://www.amazon.co.uk/s?k=2020+T+slot+aluminium+extrusion+560mm+cut+to+length" TargetMode="External" Id="rId7"/><Relationship Type="http://schemas.openxmlformats.org/officeDocument/2006/relationships/hyperlink" Target="https://www.aliexpress.com/wholesale?SearchText=2020+T+slot+aluminium+extrusion+560mm+cut+to+length" TargetMode="External" Id="rId8"/><Relationship Type="http://schemas.openxmlformats.org/officeDocument/2006/relationships/hyperlink" Target="https://www.aluminium-profile.co.uk/black-ir-20x20-profile-ir37015blk/" TargetMode="External" Id="rId9"/><Relationship Type="http://schemas.openxmlformats.org/officeDocument/2006/relationships/hyperlink" Target="https://www.ebay.co.uk/sch/i.html?_nkw=2020+T+slot+aluminium+extrusion+710mm+cut+to+length" TargetMode="External" Id="rId10"/><Relationship Type="http://schemas.openxmlformats.org/officeDocument/2006/relationships/hyperlink" Target="https://www.amazon.co.uk/s?k=2020+T+slot+aluminium+extrusion+710mm+cut+to+length" TargetMode="External" Id="rId11"/><Relationship Type="http://schemas.openxmlformats.org/officeDocument/2006/relationships/hyperlink" Target="https://www.aliexpress.com/wholesale?SearchText=2020+T+slot+aluminium+extrusion+710mm+cut+to+length" TargetMode="External" Id="rId12"/><Relationship Type="http://schemas.openxmlformats.org/officeDocument/2006/relationships/hyperlink" Target="https://www.aluminium-profile.co.uk/black-ir-20x20-profile-ir37015blk/" TargetMode="External" Id="rId13"/><Relationship Type="http://schemas.openxmlformats.org/officeDocument/2006/relationships/hyperlink" Target="https://www.ebay.co.uk/sch/i.html?_nkw=2020+T+slot+aluminium+extrusion+45mm+cut" TargetMode="External" Id="rId14"/><Relationship Type="http://schemas.openxmlformats.org/officeDocument/2006/relationships/hyperlink" Target="https://www.amazon.co.uk/s?k=2020+T+slot+aluminium+extrusion+45mm+cut" TargetMode="External" Id="rId15"/><Relationship Type="http://schemas.openxmlformats.org/officeDocument/2006/relationships/hyperlink" Target="https://www.aliexpress.com/wholesale?SearchText=2020+T+slot+aluminium+extrusion+45mm+cut" TargetMode="External" Id="rId16"/><Relationship Type="http://schemas.openxmlformats.org/officeDocument/2006/relationships/hyperlink" Target="https://www.aliexpress.com/item/1005013477214655.html" TargetMode="External" Id="rId17"/><Relationship Type="http://schemas.openxmlformats.org/officeDocument/2006/relationships/hyperlink" Target="https://www.ebay.co.uk/sch/i.html?_nkw=2020+3+way+corner+cube+connector+aluminium+profile" TargetMode="External" Id="rId18"/><Relationship Type="http://schemas.openxmlformats.org/officeDocument/2006/relationships/hyperlink" Target="https://www.amazon.co.uk/s?k=2020+3+way+corner+cube+connector+aluminium+profile" TargetMode="External" Id="rId19"/><Relationship Type="http://schemas.openxmlformats.org/officeDocument/2006/relationships/hyperlink" Target="https://www.aliexpress.com/wholesale?SearchText=2020+3+way+corner+cube+connector+aluminium+profile" TargetMode="External" Id="rId20"/><Relationship Type="http://schemas.openxmlformats.org/officeDocument/2006/relationships/hyperlink" Target="https://www.aliexpress.com/item/4000190579760.html" TargetMode="External" Id="rId21"/><Relationship Type="http://schemas.openxmlformats.org/officeDocument/2006/relationships/hyperlink" Target="https://www.ebay.co.uk/sch/i.html?_nkw=2020+aluminium+profile+90+degree+corner+bracket+L" TargetMode="External" Id="rId22"/><Relationship Type="http://schemas.openxmlformats.org/officeDocument/2006/relationships/hyperlink" Target="https://www.amazon.co.uk/s?k=2020+aluminium+profile+90+degree+corner+bracket+L" TargetMode="External" Id="rId23"/><Relationship Type="http://schemas.openxmlformats.org/officeDocument/2006/relationships/hyperlink" Target="https://www.aliexpress.com/wholesale?SearchText=2020+aluminium+profile+90+degree+corner+bracket+L" TargetMode="External" Id="rId24"/><Relationship Type="http://schemas.openxmlformats.org/officeDocument/2006/relationships/hyperlink" Target="https://www.aliexpress.com/item/33014925172.html" TargetMode="External" Id="rId25"/><Relationship Type="http://schemas.openxmlformats.org/officeDocument/2006/relationships/hyperlink" Target="https://www.ebay.co.uk/sch/i.html?_nkw=rubber+feet+20mm+diameter+15mm+high+M5" TargetMode="External" Id="rId26"/><Relationship Type="http://schemas.openxmlformats.org/officeDocument/2006/relationships/hyperlink" Target="https://www.amazon.co.uk/s?k=rubber+feet+20mm+diameter+15mm+high+M5" TargetMode="External" Id="rId27"/><Relationship Type="http://schemas.openxmlformats.org/officeDocument/2006/relationships/hyperlink" Target="https://www.aliexpress.com/wholesale?SearchText=rubber+feet+20mm+diameter+15mm+high+M5" TargetMode="External" Id="rId28"/><Relationship Type="http://schemas.openxmlformats.org/officeDocument/2006/relationships/hyperlink" Target="https://github.com/theworkisthework/terraPen-mechanical-design-files/blob/main/metal%20bed/tP_Bed_Profile_Revised.dxf" TargetMode="External" Id="rId29"/><Relationship Type="http://schemas.openxmlformats.org/officeDocument/2006/relationships/hyperlink" Target="https://www.aluminium-profile.co.uk/cover-reduction-profile-kjn37080/" TargetMode="External" Id="rId30"/><Relationship Type="http://schemas.openxmlformats.org/officeDocument/2006/relationships/hyperlink" Target="https://www.ebay.co.uk/itm/206068130690?var=506833273757" TargetMode="External" Id="rId31"/><Relationship Type="http://schemas.openxmlformats.org/officeDocument/2006/relationships/hyperlink" Target="https://www.ebay.co.uk/itm/404287645922?var=674191197230" TargetMode="External" Id="rId32"/><Relationship Type="http://schemas.openxmlformats.org/officeDocument/2006/relationships/hyperlink" Target="https://www.ebay.co.uk/itm/326521985418" TargetMode="External" Id="rId33"/><Relationship Type="http://schemas.openxmlformats.org/officeDocument/2006/relationships/hyperlink" Target="https://www.ebay.co.uk/itm/318885672822?var=617097751297" TargetMode="External" Id="rId34"/><Relationship Type="http://schemas.openxmlformats.org/officeDocument/2006/relationships/hyperlink" Target="https://www.jugetek.com/product-page/black-anodized-linear-rail-mgn7-mgn9-mgn12-mgn15?variantId=e3079c50-bfe9-46c3-bc79-164a8e385585" TargetMode="External" Id="rId35"/><Relationship Type="http://schemas.openxmlformats.org/officeDocument/2006/relationships/hyperlink" Target="https://www.ebay.co.uk/sch/i.html?_nkw=MGN9H+linear+rail+540mm+with+carriage" TargetMode="External" Id="rId36"/><Relationship Type="http://schemas.openxmlformats.org/officeDocument/2006/relationships/hyperlink" Target="https://www.amazon.co.uk/s?k=MGN9H+linear+rail+540mm+with+carriage" TargetMode="External" Id="rId37"/><Relationship Type="http://schemas.openxmlformats.org/officeDocument/2006/relationships/hyperlink" Target="https://www.aliexpress.com/wholesale?SearchText=MGN9H+linear+rail+540mm+with+carriage" TargetMode="External" Id="rId38"/><Relationship Type="http://schemas.openxmlformats.org/officeDocument/2006/relationships/hyperlink" Target="https://www.jugetek.com/product-page/black-anodized-linear-rail-mgn7-mgn9-mgn12-mgn15?variantId=e3079c50-bfe9-46c3-bc79-164a8e385585" TargetMode="External" Id="rId39"/><Relationship Type="http://schemas.openxmlformats.org/officeDocument/2006/relationships/hyperlink" Target="https://www.ebay.co.uk/sch/i.html?_nkw=MGN9H+linear+rail+710mm+with+carriage" TargetMode="External" Id="rId40"/><Relationship Type="http://schemas.openxmlformats.org/officeDocument/2006/relationships/hyperlink" Target="https://www.amazon.co.uk/s?k=MGN9H+linear+rail+710mm+with+carriage" TargetMode="External" Id="rId41"/><Relationship Type="http://schemas.openxmlformats.org/officeDocument/2006/relationships/hyperlink" Target="https://www.aliexpress.com/wholesale?SearchText=MGN9H+linear+rail+710mm+with+carriage" TargetMode="External" Id="rId42"/><Relationship Type="http://schemas.openxmlformats.org/officeDocument/2006/relationships/hyperlink" Target="https://www.jugetek.com/product-page/black-anodized-linear-rail-mgn7-mgn9-mgn12-mgn15?variantId=e3079c50-bfe9-46c3-bc79-164a8e385585" TargetMode="External" Id="rId43"/><Relationship Type="http://schemas.openxmlformats.org/officeDocument/2006/relationships/hyperlink" Target="https://www.ebay.co.uk/sch/i.html?_nkw=MGN7H+50mm+linear+rail+with+carriage+block" TargetMode="External" Id="rId44"/><Relationship Type="http://schemas.openxmlformats.org/officeDocument/2006/relationships/hyperlink" Target="https://www.amazon.co.uk/s?k=MGN7H+50mm+linear+rail+with+carriage+block" TargetMode="External" Id="rId45"/><Relationship Type="http://schemas.openxmlformats.org/officeDocument/2006/relationships/hyperlink" Target="https://www.aliexpress.com/wholesale?SearchText=MGN7H+50mm+linear+rail+with+carriage+block" TargetMode="External" Id="rId46"/><Relationship Type="http://schemas.openxmlformats.org/officeDocument/2006/relationships/hyperlink" Target="https://www.aliexpress.com/item/10000401582873.html" TargetMode="External" Id="rId47"/><Relationship Type="http://schemas.openxmlformats.org/officeDocument/2006/relationships/hyperlink" Target="https://www.ebay.co.uk/sch/i.html?_nkw=GT2+timing+belt+6mm+open+3m" TargetMode="External" Id="rId48"/><Relationship Type="http://schemas.openxmlformats.org/officeDocument/2006/relationships/hyperlink" Target="https://www.amazon.co.uk/s?k=GT2+timing+belt+6mm+open+3m" TargetMode="External" Id="rId49"/><Relationship Type="http://schemas.openxmlformats.org/officeDocument/2006/relationships/hyperlink" Target="https://www.aliexpress.com/wholesale?SearchText=GT2+timing+belt+6mm+open+3m" TargetMode="External" Id="rId50"/><Relationship Type="http://schemas.openxmlformats.org/officeDocument/2006/relationships/hyperlink" Target="https://www.aliexpress.com/item/1005010499786326.html" TargetMode="External" Id="rId51"/><Relationship Type="http://schemas.openxmlformats.org/officeDocument/2006/relationships/hyperlink" Target="https://www.ebay.co.uk/sch/i.html?_nkw=GT2+20+tooth+pulley+5mm+bore+6mm+belt" TargetMode="External" Id="rId52"/><Relationship Type="http://schemas.openxmlformats.org/officeDocument/2006/relationships/hyperlink" Target="https://www.amazon.co.uk/s?k=GT2+20+tooth+pulley+5mm+bore+6mm+belt" TargetMode="External" Id="rId53"/><Relationship Type="http://schemas.openxmlformats.org/officeDocument/2006/relationships/hyperlink" Target="https://www.aliexpress.com/wholesale?SearchText=GT2+20+tooth+pulley+5mm+bore+6mm+belt" TargetMode="External" Id="rId54"/><Relationship Type="http://schemas.openxmlformats.org/officeDocument/2006/relationships/hyperlink" Target="https://www.aliexpress.com/item/32726309946.html" TargetMode="External" Id="rId55"/><Relationship Type="http://schemas.openxmlformats.org/officeDocument/2006/relationships/hyperlink" Target="https://www.ebay.co.uk/sch/i.html?_nkw=GT2+20T+smooth+idler+pulley+5mm+bore+6mm+belt" TargetMode="External" Id="rId56"/><Relationship Type="http://schemas.openxmlformats.org/officeDocument/2006/relationships/hyperlink" Target="https://www.amazon.co.uk/s?k=GT2+20T+smooth+idler+pulley+5mm+bore+6mm+belt" TargetMode="External" Id="rId57"/><Relationship Type="http://schemas.openxmlformats.org/officeDocument/2006/relationships/hyperlink" Target="https://www.aliexpress.com/wholesale?SearchText=GT2+20T+smooth+idler+pulley+5mm+bore+6mm+belt" TargetMode="External" Id="rId58"/><Relationship Type="http://schemas.openxmlformats.org/officeDocument/2006/relationships/hyperlink" Target="https://www.aliexpress.com/item/32726309946.html" TargetMode="External" Id="rId59"/><Relationship Type="http://schemas.openxmlformats.org/officeDocument/2006/relationships/hyperlink" Target="https://www.ebay.co.uk/sch/i.html?_nkw=GT2+20T+toothed+idler+pulley+5mm+bore+6mm+belt+with+bearing" TargetMode="External" Id="rId60"/><Relationship Type="http://schemas.openxmlformats.org/officeDocument/2006/relationships/hyperlink" Target="https://www.amazon.co.uk/s?k=GT2+20T+toothed+idler+pulley+5mm+bore+6mm+belt+with+bearing" TargetMode="External" Id="rId61"/><Relationship Type="http://schemas.openxmlformats.org/officeDocument/2006/relationships/hyperlink" Target="https://www.aliexpress.com/wholesale?SearchText=GT2+20T+toothed+idler+pulley+5mm+bore+6mm+belt+with+bearing" TargetMode="External" Id="rId62"/><Relationship Type="http://schemas.openxmlformats.org/officeDocument/2006/relationships/hyperlink" Target="https://www.stepperonline.co.uk/nema-17-bipolar-45ncm-63-74oz-in-1-5a-42x42x39mm-4-wires-w-1m-pin-connector-17hs15-1504s-x1.html" TargetMode="External" Id="rId63"/><Relationship Type="http://schemas.openxmlformats.org/officeDocument/2006/relationships/hyperlink" Target="https://www.ebay.co.uk/sch/i.html?_nkw=NEMA+17+stepper+1.7A+42x42x38+bipolar" TargetMode="External" Id="rId64"/><Relationship Type="http://schemas.openxmlformats.org/officeDocument/2006/relationships/hyperlink" Target="https://www.amazon.co.uk/s?k=NEMA+17+stepper+1.7A+42x42x38+bipolar" TargetMode="External" Id="rId65"/><Relationship Type="http://schemas.openxmlformats.org/officeDocument/2006/relationships/hyperlink" Target="https://www.aliexpress.com/wholesale?SearchText=NEMA+17+stepper+1.7A+42x42x38+bipolar" TargetMode="External" Id="rId66"/><Relationship Type="http://schemas.openxmlformats.org/officeDocument/2006/relationships/hyperlink" Target="https://terrapen.xyz/products/emerald-dingo-esp32-plotter-controller?variant=64807034749305" TargetMode="External" Id="rId67"/><Relationship Type="http://schemas.openxmlformats.org/officeDocument/2006/relationships/hyperlink" Target="https://www.aliexpress.com/item/1005004590796152.html" TargetMode="External" Id="rId68"/><Relationship Type="http://schemas.openxmlformats.org/officeDocument/2006/relationships/hyperlink" Target="https://terrapen.xyz/products/emerald-dingo-esp32-plotter-controller?variant=64807034749305" TargetMode="External" Id="rId69"/><Relationship Type="http://schemas.openxmlformats.org/officeDocument/2006/relationships/hyperlink" Target="https://www.amazon.co.uk/dp/B07R2J5CC4" TargetMode="External" Id="rId70"/><Relationship Type="http://schemas.openxmlformats.org/officeDocument/2006/relationships/hyperlink" Target="https://www.ebay.co.uk/sch/i.html?_nkw=microSD+card+8GB+SanDisk" TargetMode="External" Id="rId71"/><Relationship Type="http://schemas.openxmlformats.org/officeDocument/2006/relationships/hyperlink" Target="https://www.amazon.co.uk/s?k=microSD+card+8GB+SanDisk" TargetMode="External" Id="rId72"/><Relationship Type="http://schemas.openxmlformats.org/officeDocument/2006/relationships/hyperlink" Target="https://www.aliexpress.com/wholesale?SearchText=microSD+card+8GB+SanDisk" TargetMode="External" Id="rId73"/><Relationship Type="http://schemas.openxmlformats.org/officeDocument/2006/relationships/hyperlink" Target="https://uk.farnell.com/ideal-power/15dys830-120250w-k/adapter-ac-dc-12v-2-5a/dp/3703709" TargetMode="External" Id="rId74"/><Relationship Type="http://schemas.openxmlformats.org/officeDocument/2006/relationships/hyperlink" Target="https://www.ebay.co.uk/sch/i.html?_nkw=12V+2A+power+supply+5.5x2.1mm+UK+plug" TargetMode="External" Id="rId75"/><Relationship Type="http://schemas.openxmlformats.org/officeDocument/2006/relationships/hyperlink" Target="https://www.amazon.co.uk/s?k=12V+2A+power+supply+5.5x2.1mm+UK+plug" TargetMode="External" Id="rId76"/><Relationship Type="http://schemas.openxmlformats.org/officeDocument/2006/relationships/hyperlink" Target="https://www.aliexpress.com/wholesale?SearchText=12V+2A+power+supply+5.5x2.1mm+UK+plug" TargetMode="External" Id="rId77"/><Relationship Type="http://schemas.openxmlformats.org/officeDocument/2006/relationships/hyperlink" Target="https://www.ebay.co.uk/sch/i.html?_nkw=JST+PH+2.0+4+pin+cable+750mm" TargetMode="External" Id="rId78"/><Relationship Type="http://schemas.openxmlformats.org/officeDocument/2006/relationships/hyperlink" Target="https://www.amazon.co.uk/s?k=JST+PH+2.0+4+pin+cable+750mm" TargetMode="External" Id="rId79"/><Relationship Type="http://schemas.openxmlformats.org/officeDocument/2006/relationships/hyperlink" Target="https://www.aliexpress.com/wholesale?SearchText=JST+PH+2.0+4+pin+cable+750mm" TargetMode="External" Id="rId80"/><Relationship Type="http://schemas.openxmlformats.org/officeDocument/2006/relationships/hyperlink" Target="https://www.ebay.co.uk/sch/i.html?_nkw=JST+PH+2.0+4+pin+cable+500mm" TargetMode="External" Id="rId81"/><Relationship Type="http://schemas.openxmlformats.org/officeDocument/2006/relationships/hyperlink" Target="https://www.amazon.co.uk/s?k=JST+PH+2.0+4+pin+cable+500mm" TargetMode="External" Id="rId82"/><Relationship Type="http://schemas.openxmlformats.org/officeDocument/2006/relationships/hyperlink" Target="https://www.aliexpress.com/wholesale?SearchText=JST+PH+2.0+4+pin+cable+500mm" TargetMode="External" Id="rId83"/><Relationship Type="http://schemas.openxmlformats.org/officeDocument/2006/relationships/hyperlink" Target="https://www.rapidonline.com/alpha-wire-3049-bk001-26-awg-pvc-black-hook-up-wire-1kft-01-5540" TargetMode="External" Id="rId84"/><Relationship Type="http://schemas.openxmlformats.org/officeDocument/2006/relationships/hyperlink" Target="https://www.ebay.co.uk/itm/398302213229?var=666566085777" TargetMode="External" Id="rId85"/><Relationship Type="http://schemas.openxmlformats.org/officeDocument/2006/relationships/hyperlink" Target="https://www.ebay.co.uk/sch/i.html?_nkw=4+core+26+AWG+PVC+cable+per+metre" TargetMode="External" Id="rId86"/><Relationship Type="http://schemas.openxmlformats.org/officeDocument/2006/relationships/hyperlink" Target="https://www.amazon.co.uk/s?k=4+core+26+AWG+PVC+cable+per+metre" TargetMode="External" Id="rId87"/><Relationship Type="http://schemas.openxmlformats.org/officeDocument/2006/relationships/hyperlink" Target="https://www.aliexpress.com/wholesale?SearchText=4+core+26+AWG+PVC+cable+per+metre" TargetMode="External" Id="rId88"/><Relationship Type="http://schemas.openxmlformats.org/officeDocument/2006/relationships/hyperlink" Target="https://www.ebay.co.uk/itm/398302213229?var=666566085742" TargetMode="External" Id="rId89"/><Relationship Type="http://schemas.openxmlformats.org/officeDocument/2006/relationships/hyperlink" Target="https://www.ebay.co.uk/sch/i.html?_nkw=3+core+26+AWG+PVC+cable+per+metre" TargetMode="External" Id="rId90"/><Relationship Type="http://schemas.openxmlformats.org/officeDocument/2006/relationships/hyperlink" Target="https://www.amazon.co.uk/s?k=3+core+26+AWG+PVC+cable+per+metre" TargetMode="External" Id="rId91"/><Relationship Type="http://schemas.openxmlformats.org/officeDocument/2006/relationships/hyperlink" Target="https://www.aliexpress.com/wholesale?SearchText=3+core+26+AWG+PVC+cable+per+metre" TargetMode="External" Id="rId92"/><Relationship Type="http://schemas.openxmlformats.org/officeDocument/2006/relationships/hyperlink" Target="https://www.ebay.co.uk/itm/307018351125" TargetMode="External" Id="rId93"/><Relationship Type="http://schemas.openxmlformats.org/officeDocument/2006/relationships/hyperlink" Target="https://www.ebay.co.uk/sch/i.html?_nkw=JST+PH+2.0+connector+housing+crimp+kit" TargetMode="External" Id="rId94"/><Relationship Type="http://schemas.openxmlformats.org/officeDocument/2006/relationships/hyperlink" Target="https://www.amazon.co.uk/s?k=JST+PH+2.0+connector+housing+crimp+kit" TargetMode="External" Id="rId95"/><Relationship Type="http://schemas.openxmlformats.org/officeDocument/2006/relationships/hyperlink" Target="https://www.aliexpress.com/wholesale?SearchText=JST+PH+2.0+connector+housing+crimp+kit" TargetMode="External" Id="rId96"/><Relationship Type="http://schemas.openxmlformats.org/officeDocument/2006/relationships/hyperlink" Target="https://www.ebay.co.uk/sch/i.html?_nkw=insulation+tape+assorted+colours+electrical+PVC" TargetMode="External" Id="rId97"/><Relationship Type="http://schemas.openxmlformats.org/officeDocument/2006/relationships/hyperlink" Target="https://www.amazon.co.uk/s?k=insulation+tape+assorted+colours+electrical+PVC" TargetMode="External" Id="rId98"/><Relationship Type="http://schemas.openxmlformats.org/officeDocument/2006/relationships/hyperlink" Target="https://www.aliexpress.com/wholesale?SearchText=insulation+tape+assorted+colours+electrical+PVC" TargetMode="External" Id="rId99"/><Relationship Type="http://schemas.openxmlformats.org/officeDocument/2006/relationships/hyperlink" Target="https://www.ebay.co.uk/itm/820271314350" TargetMode="External" Id="rId100"/><Relationship Type="http://schemas.openxmlformats.org/officeDocument/2006/relationships/hyperlink" Target="https://www.ebay.co.uk/sch/i.html?_nkw=JST+SM+connector+kit+male+female+crimp+2.5mm" TargetMode="External" Id="rId101"/><Relationship Type="http://schemas.openxmlformats.org/officeDocument/2006/relationships/hyperlink" Target="https://www.amazon.co.uk/s?k=JST+SM+connector+kit+male+female+crimp+2.5mm" TargetMode="External" Id="rId102"/><Relationship Type="http://schemas.openxmlformats.org/officeDocument/2006/relationships/hyperlink" Target="https://www.aliexpress.com/wholesale?SearchText=JST+SM+connector+kit+male+female+crimp+2.5mm" TargetMode="External" Id="rId103"/><Relationship Type="http://schemas.openxmlformats.org/officeDocument/2006/relationships/hyperlink" Target="https://ooznest.co.uk/product/optical-endstop/" TargetMode="External" Id="rId104"/><Relationship Type="http://schemas.openxmlformats.org/officeDocument/2006/relationships/hyperlink" Target="https://www.ebay.co.uk/sch/i.html?_nkw=optical+endstop+switch+module+3D+printer" TargetMode="External" Id="rId105"/><Relationship Type="http://schemas.openxmlformats.org/officeDocument/2006/relationships/hyperlink" Target="https://www.amazon.co.uk/s?k=optical+endstop+switch+module+3D+printer" TargetMode="External" Id="rId106"/><Relationship Type="http://schemas.openxmlformats.org/officeDocument/2006/relationships/hyperlink" Target="https://www.aliexpress.com/wholesale?SearchText=optical+endstop+switch+module+3D+printer" TargetMode="External" Id="rId107"/><Relationship Type="http://schemas.openxmlformats.org/officeDocument/2006/relationships/hyperlink" Target="https://www.mouser.co.uk/en/ProductDetail/Wurth-Elektronik/971180365?qs=%252BEew9%252B0nqrDVrObtSz99Gg%3D%3D" TargetMode="External" Id="rId108"/><Relationship Type="http://schemas.openxmlformats.org/officeDocument/2006/relationships/hyperlink" Target="https://www.ebay.co.uk/sch/i.html?_nkw=nylon+M3+standoff+20mm" TargetMode="External" Id="rId109"/><Relationship Type="http://schemas.openxmlformats.org/officeDocument/2006/relationships/hyperlink" Target="https://www.amazon.co.uk/s?k=nylon+M3+standoff+20mm" TargetMode="External" Id="rId110"/><Relationship Type="http://schemas.openxmlformats.org/officeDocument/2006/relationships/hyperlink" Target="https://www.aliexpress.com/wholesale?SearchText=nylon+M3+standoff+20mm" TargetMode="External" Id="rId111"/><Relationship Type="http://schemas.openxmlformats.org/officeDocument/2006/relationships/hyperlink" Target="https://www.mouser.co.uk/en/ProductDetail/Essentra/36M30MF016?qs=PzGy0jfpSMv9qGPovnFAAw%3D%3D" TargetMode="External" Id="rId112"/><Relationship Type="http://schemas.openxmlformats.org/officeDocument/2006/relationships/hyperlink" Target="https://www.ebay.co.uk/itm/224610270674" TargetMode="External" Id="rId113"/><Relationship Type="http://schemas.openxmlformats.org/officeDocument/2006/relationships/hyperlink" Target="https://www.ebay.co.uk/itm/377319331207?var=645666841133" TargetMode="External" Id="rId114"/><Relationship Type="http://schemas.openxmlformats.org/officeDocument/2006/relationships/hyperlink" Target="https://www.ebay.co.uk/itm/398214541037" TargetMode="External" Id="rId115"/><Relationship Type="http://schemas.openxmlformats.org/officeDocument/2006/relationships/hyperlink" Target="https://www.aliexpress.com/item/1005010074372646.html" TargetMode="External" Id="rId116"/><Relationship Type="http://schemas.openxmlformats.org/officeDocument/2006/relationships/hyperlink" Target="https://www.aliexpress.com/item/10000358224332.html" TargetMode="External" Id="rId117"/><Relationship Type="http://schemas.openxmlformats.org/officeDocument/2006/relationships/hyperlink" Target="https://www.ebay.co.uk/sch/i.html?_nkw=7x7+cable+drag+chain+1m" TargetMode="External" Id="rId118"/><Relationship Type="http://schemas.openxmlformats.org/officeDocument/2006/relationships/hyperlink" Target="https://www.amazon.co.uk/s?k=7x7+cable+drag+chain+1m" TargetMode="External" Id="rId119"/><Relationship Type="http://schemas.openxmlformats.org/officeDocument/2006/relationships/hyperlink" Target="https://www.aliexpress.com/wholesale?SearchText=7x7+cable+drag+chain+1m" TargetMode="External" Id="rId120"/><Relationship Type="http://schemas.openxmlformats.org/officeDocument/2006/relationships/hyperlink" Target="https://www.screwfix.com/p/d-line-pvc-black-micro-trunking-20mm-x-10mm-x-2m/960ra" TargetMode="External" Id="rId121"/><Relationship Type="http://schemas.openxmlformats.org/officeDocument/2006/relationships/hyperlink" Target="https://www.screwfix.com/p/d-line-abs-plastic-black-trunking-accessories-5-pieces/117fg" TargetMode="External" Id="rId122"/><Relationship Type="http://schemas.openxmlformats.org/officeDocument/2006/relationships/hyperlink" Target="https://www.ebay.co.uk/itm/366488071588?var=636217771991" TargetMode="External" Id="rId123"/><Relationship Type="http://schemas.openxmlformats.org/officeDocument/2006/relationships/hyperlink" Target="https://www.ebay.co.uk/sch/i.html?_nkw=cable+ties+100mm+x+2.5mm" TargetMode="External" Id="rId124"/><Relationship Type="http://schemas.openxmlformats.org/officeDocument/2006/relationships/hyperlink" Target="https://www.amazon.co.uk/s?k=cable+ties+100mm+x+2.5mm" TargetMode="External" Id="rId125"/><Relationship Type="http://schemas.openxmlformats.org/officeDocument/2006/relationships/hyperlink" Target="https://www.aliexpress.com/wholesale?SearchText=cable+ties+100mm+x+2.5mm" TargetMode="External" Id="rId126"/><Relationship Type="http://schemas.openxmlformats.org/officeDocument/2006/relationships/hyperlink" Target="https://www.ebay.co.uk/sch/i.html?_nkw=hex+key+set+1.5+2+2.5+3+4mm" TargetMode="External" Id="rId127"/><Relationship Type="http://schemas.openxmlformats.org/officeDocument/2006/relationships/hyperlink" Target="https://www.amazon.co.uk/s?k=hex+key+set+1.5+2+2.5+3+4mm" TargetMode="External" Id="rId128"/><Relationship Type="http://schemas.openxmlformats.org/officeDocument/2006/relationships/hyperlink" Target="https://www.aliexpress.com/wholesale?SearchText=hex+key+set+1.5+2+2.5+3+4mm" TargetMode="External" Id="rId129"/><Relationship Type="http://schemas.openxmlformats.org/officeDocument/2006/relationships/hyperlink" Target="https://allfix.co.uk/m2-x-8-socket-head-capscrew-steel-self-colour-scp0scm020x0008.html" TargetMode="External" Id="rId130"/><Relationship Type="http://schemas.openxmlformats.org/officeDocument/2006/relationships/hyperlink" Target="https://www.ebay.co.uk/itm/316492832478" TargetMode="External" Id="rId131"/><Relationship Type="http://schemas.openxmlformats.org/officeDocument/2006/relationships/hyperlink" Target="https://www.ebay.co.uk/sch/i.html?_nkw=M2+heat+set+threaded+insert+brass" TargetMode="External" Id="rId132"/><Relationship Type="http://schemas.openxmlformats.org/officeDocument/2006/relationships/hyperlink" Target="https://www.amazon.co.uk/s?k=M2+heat+set+threaded+insert+brass" TargetMode="External" Id="rId133"/><Relationship Type="http://schemas.openxmlformats.org/officeDocument/2006/relationships/hyperlink" Target="https://www.aliexpress.com/wholesale?SearchText=M2+heat+set+threaded+insert+brass" TargetMode="External" Id="rId134"/><Relationship Type="http://schemas.openxmlformats.org/officeDocument/2006/relationships/hyperlink" Target="https://allfix.co.uk/m3-x-5-socket-countersunk-steel-self-colour-sck0scm030x0005.html" TargetMode="External" Id="rId135"/><Relationship Type="http://schemas.openxmlformats.org/officeDocument/2006/relationships/hyperlink" Target="https://allfix.co.uk/m3-x-6-socket-countersunk-steel-self-colour-sck0scm030x0006.html" TargetMode="External" Id="rId136"/><Relationship Type="http://schemas.openxmlformats.org/officeDocument/2006/relationships/hyperlink" Target="https://allfix.co.uk/m3-x-8-socket-countersunk-steel-self-colour-sck0scm030x0008.html" TargetMode="External" Id="rId137"/><Relationship Type="http://schemas.openxmlformats.org/officeDocument/2006/relationships/hyperlink" Target="https://allfix.co.uk/m3-x-16-socket-countersunk-steel-self-colour-sck0scm030x0016.html" TargetMode="External" Id="rId138"/><Relationship Type="http://schemas.openxmlformats.org/officeDocument/2006/relationships/hyperlink" Target="https://allfix.co.uk/m3-x-30-socket-countersunk-steel-self-colour-sck0scm030x0030.html" TargetMode="External" Id="rId139"/><Relationship Type="http://schemas.openxmlformats.org/officeDocument/2006/relationships/hyperlink" Target="https://allfix.co.uk/m3-x-6-socket-button-head-steel-self-colour-sbn0scm030x0006.html" TargetMode="External" Id="rId140"/><Relationship Type="http://schemas.openxmlformats.org/officeDocument/2006/relationships/hyperlink" Target="https://allfix.co.uk/m3-x-8-socket-button-head-steel-self-colour-sbn0scm030x0008.html" TargetMode="External" Id="rId141"/><Relationship Type="http://schemas.openxmlformats.org/officeDocument/2006/relationships/hyperlink" Target="https://allfix.co.uk/m3-x-16-socket-button-head-steel-self-colour-sbn0scm030x0016.html" TargetMode="External" Id="rId142"/><Relationship Type="http://schemas.openxmlformats.org/officeDocument/2006/relationships/hyperlink" Target="https://allfix.co.uk/m3-x-8-socket-head-capscrew-steel-self-colour-scp0scm030x0008.html" TargetMode="External" Id="rId143"/><Relationship Type="http://schemas.openxmlformats.org/officeDocument/2006/relationships/hyperlink" Target="https://allfix.co.uk/m3-nyloc-nut-type-t-a2-304-stainless-steel-din-985-nunt2scm030.html" TargetMode="External" Id="rId144"/><Relationship Type="http://schemas.openxmlformats.org/officeDocument/2006/relationships/hyperlink" Target="https://www.aluminium-profile.co.uk/t-slot-nut-5-st-m3-with-spring-ball-kjn43719/" TargetMode="External" Id="rId145"/><Relationship Type="http://schemas.openxmlformats.org/officeDocument/2006/relationships/hyperlink" Target="https://www.ebay.co.uk/sch/i.html?_nkw=M3+drop+in+T+nut+2020+profile" TargetMode="External" Id="rId146"/><Relationship Type="http://schemas.openxmlformats.org/officeDocument/2006/relationships/hyperlink" Target="https://www.amazon.co.uk/s?k=M3+drop+in+T+nut+2020+profile" TargetMode="External" Id="rId147"/><Relationship Type="http://schemas.openxmlformats.org/officeDocument/2006/relationships/hyperlink" Target="https://www.aliexpress.com/wholesale?SearchText=M3+drop+in+T+nut+2020+profile" TargetMode="External" Id="rId148"/><Relationship Type="http://schemas.openxmlformats.org/officeDocument/2006/relationships/hyperlink" Target="https://thepihut.com/products/brass-heat-set-inserts-for-plastic-m3-x-3mm-50-pack" TargetMode="External" Id="rId149"/><Relationship Type="http://schemas.openxmlformats.org/officeDocument/2006/relationships/hyperlink" Target="https://www.ebay.co.uk/sch/i.html?_nkw=M3+heat+set+insert+M3x3+brass" TargetMode="External" Id="rId150"/><Relationship Type="http://schemas.openxmlformats.org/officeDocument/2006/relationships/hyperlink" Target="https://www.amazon.co.uk/s?k=M3+heat+set+insert+M3x3+brass" TargetMode="External" Id="rId151"/><Relationship Type="http://schemas.openxmlformats.org/officeDocument/2006/relationships/hyperlink" Target="https://www.aliexpress.com/wholesale?SearchText=M3+heat+set+insert+M3x3+brass" TargetMode="External" Id="rId152"/><Relationship Type="http://schemas.openxmlformats.org/officeDocument/2006/relationships/hyperlink" Target="https://allfix.co.uk/m5-x-8-socket-countersunk-steel-self-colour-sck0scm050x0008.html" TargetMode="External" Id="rId153"/><Relationship Type="http://schemas.openxmlformats.org/officeDocument/2006/relationships/hyperlink" Target="https://allfix.co.uk/m5-x-20-socket-countersunk-steel-self-colour-sck0scm050x0020.html" TargetMode="External" Id="rId154"/><Relationship Type="http://schemas.openxmlformats.org/officeDocument/2006/relationships/hyperlink" Target="https://allfix.co.uk/m5-x-12-socket-button-head-steel-self-colour-sbn0scm050x0012.html" TargetMode="External" Id="rId155"/><Relationship Type="http://schemas.openxmlformats.org/officeDocument/2006/relationships/hyperlink" Target="https://allfix.co.uk/m5-x-8-socket-button-head-steel-self-colour-sbn0scm050x0008.html" TargetMode="External" Id="rId156"/><Relationship Type="http://schemas.openxmlformats.org/officeDocument/2006/relationships/hyperlink" Target="https://www.aluminium-profile.co.uk/t-slot-nut-5-st-m3-with-spring-ball-pk-10-kjn37001/" TargetMode="External" Id="rId157"/><Relationship Type="http://schemas.openxmlformats.org/officeDocument/2006/relationships/hyperlink" Target="https://www.ebay.co.uk/sch/i.html?_nkw=M5+drop+in+T+nut+2020+profile" TargetMode="External" Id="rId158"/><Relationship Type="http://schemas.openxmlformats.org/officeDocument/2006/relationships/hyperlink" Target="https://www.amazon.co.uk/s?k=M5+drop+in+T+nut+2020+profile" TargetMode="External" Id="rId159"/><Relationship Type="http://schemas.openxmlformats.org/officeDocument/2006/relationships/hyperlink" Target="https://www.aliexpress.com/wholesale?SearchText=M5+drop+in+T+nut+2020+profile" TargetMode="External" Id="rId160"/><Relationship Type="http://schemas.openxmlformats.org/officeDocument/2006/relationships/hyperlink" Target="https://www.stepperonline.co.uk/nema-14-bipolar-1-8deg-23ncm-32-57oz-in-0-5a-35x35x42mm-4-wires-14hs17-0504s.html" TargetMode="External" Id="rId161"/><Relationship Type="http://schemas.openxmlformats.org/officeDocument/2006/relationships/hyperlink" Target="https://www.ebay.co.uk/sch/i.html?_nkw=NEMA+14+stepper+motor+35mm+bipolar+1.8+degree" TargetMode="External" Id="rId162"/><Relationship Type="http://schemas.openxmlformats.org/officeDocument/2006/relationships/hyperlink" Target="https://www.amazon.co.uk/s?k=NEMA+14+stepper+motor+35mm+bipolar+1.8+degree" TargetMode="External" Id="rId163"/><Relationship Type="http://schemas.openxmlformats.org/officeDocument/2006/relationships/hyperlink" Target="https://www.aliexpress.com/wholesale?SearchText=NEMA+14+stepper+motor+35mm+bipolar+1.8+degree" TargetMode="External" Id="rId164"/><Relationship Type="http://schemas.openxmlformats.org/officeDocument/2006/relationships/hyperlink" Target="https://www.aliexpress.com/item/10000401582873.html" TargetMode="External" Id="rId165"/><Relationship Type="http://schemas.openxmlformats.org/officeDocument/2006/relationships/hyperlink" Target="https://www.ebay.co.uk/sch/i.html?_nkw=GT2+timing+belt+6mm+open+per+metre" TargetMode="External" Id="rId166"/><Relationship Type="http://schemas.openxmlformats.org/officeDocument/2006/relationships/hyperlink" Target="https://www.amazon.co.uk/s?k=GT2+timing+belt+6mm+open+per+metre" TargetMode="External" Id="rId167"/><Relationship Type="http://schemas.openxmlformats.org/officeDocument/2006/relationships/hyperlink" Target="https://www.aliexpress.com/wholesale?SearchText=GT2+timing+belt+6mm+open+per+metre" TargetMode="External" Id="rId168"/><Relationship Type="http://schemas.openxmlformats.org/officeDocument/2006/relationships/hyperlink" Target="https://www.ebay.co.uk/itm/406338225404?var=676666549225" TargetMode="External" Id="rId169"/><Relationship Type="http://schemas.openxmlformats.org/officeDocument/2006/relationships/hyperlink" Target="https://www.aliexpress.com/item/1005009244888323.html" TargetMode="External" Id="rId170"/><Relationship Type="http://schemas.openxmlformats.org/officeDocument/2006/relationships/hyperlink" Target="https://github.com/theworkisthework/terraPen-mechanical-design-files/blob/main/STLs/X_Idler_Top.stl" TargetMode="External" Id="rId171"/><Relationship Type="http://schemas.openxmlformats.org/officeDocument/2006/relationships/hyperlink" Target="https://github.com/theworkisthework/terraPen-mechanical-design-files/blob/main/STLs/X_Idler_Bottom.stl" TargetMode="External" Id="rId172"/><Relationship Type="http://schemas.openxmlformats.org/officeDocument/2006/relationships/hyperlink" Target="https://github.com/theworkisthework/terraPen-mechanical-design-files/blob/main/STLs/Y_Idler_Top.stl" TargetMode="External" Id="rId173"/><Relationship Type="http://schemas.openxmlformats.org/officeDocument/2006/relationships/hyperlink" Target="https://github.com/theworkisthework/terraPen-mechanical-design-files/blob/main/STLs/Y_Idler_Bottom.stl" TargetMode="External" Id="rId174"/><Relationship Type="http://schemas.openxmlformats.org/officeDocument/2006/relationships/hyperlink" Target="https://github.com/theworkisthework/terraPen-mechanical-design-files/blob/main/STLs/X_Motor_Top.stl" TargetMode="External" Id="rId175"/><Relationship Type="http://schemas.openxmlformats.org/officeDocument/2006/relationships/hyperlink" Target="https://github.com/theworkisthework/terraPen-mechanical-design-files/blob/main/STLs/X_Motor_Bottom.stl" TargetMode="External" Id="rId176"/><Relationship Type="http://schemas.openxmlformats.org/officeDocument/2006/relationships/hyperlink" Target="https://github.com/theworkisthework/terraPen-mechanical-design-files/blob/main/STLs/Y_Motor_Top.stl" TargetMode="External" Id="rId177"/><Relationship Type="http://schemas.openxmlformats.org/officeDocument/2006/relationships/hyperlink" Target="https://github.com/theworkisthework/terraPen-mechanical-design-files/blob/main/STLs/Y_Motor_Bottom.stl" TargetMode="External" Id="rId178"/><Relationship Type="http://schemas.openxmlformats.org/officeDocument/2006/relationships/hyperlink" Target="https://github.com/theworkisthework/terraPen-mechanical-design-files/blob/main/STLs/Xy_Carriage_Top.stl" TargetMode="External" Id="rId179"/><Relationship Type="http://schemas.openxmlformats.org/officeDocument/2006/relationships/hyperlink" Target="https://github.com/theworkisthework/terraPen-mechanical-design-files/blob/main/STLs/Xy_Carriage_Bottom.stl" TargetMode="External" Id="rId180"/><Relationship Type="http://schemas.openxmlformats.org/officeDocument/2006/relationships/hyperlink" Target="https://github.com/theworkisthework/terraPen-mechanical-design-files/blob/main/STLs/Xx_Carriage_Top.stl" TargetMode="External" Id="rId181"/><Relationship Type="http://schemas.openxmlformats.org/officeDocument/2006/relationships/hyperlink" Target="https://github.com/theworkisthework/terraPen-mechanical-design-files/blob/main/STLs/Xx_Carraiage_Bottom.stl" TargetMode="External" Id="rId182"/><Relationship Type="http://schemas.openxmlformats.org/officeDocument/2006/relationships/hyperlink" Target="https://github.com/theworkisthework/terraPen-mechanical-design-files/blob/main/STLs/Tool_Carriage.stl" TargetMode="External" Id="rId183"/><Relationship Type="http://schemas.openxmlformats.org/officeDocument/2006/relationships/hyperlink" Target="https://github.com/theworkisthework/terraPen-mechanical-design-files/blob/main/STLs/Belt_Clamp_Plate.stl" TargetMode="External" Id="rId184"/><Relationship Type="http://schemas.openxmlformats.org/officeDocument/2006/relationships/hyperlink" Target="https://github.com/theworkisthework/terraPen-mechanical-design-files/blob/main/STLs/Belt_Clamp_Teeth.stl" TargetMode="External" Id="rId185"/><Relationship Type="http://schemas.openxmlformats.org/officeDocument/2006/relationships/hyperlink" Target="https://github.com/theworkisthework/terraPen-mechanical-design-files/blob/main/STLs/Tensioner_Housing.stl" TargetMode="External" Id="rId186"/><Relationship Type="http://schemas.openxmlformats.org/officeDocument/2006/relationships/hyperlink" Target="https://github.com/theworkisthework/terraPen-mechanical-design-files/blob/main/STLs/2xTensioner_bit.stl" TargetMode="External" Id="rId187"/><Relationship Type="http://schemas.openxmlformats.org/officeDocument/2006/relationships/hyperlink" Target="https://github.com/theworkisthework/terraPen-mechanical-design-files/blob/main/STLs/Pen_Holder_Front.stl" TargetMode="External" Id="rId188"/><Relationship Type="http://schemas.openxmlformats.org/officeDocument/2006/relationships/hyperlink" Target="https://github.com/theworkisthework/terraPen-mechanical-design-files/blob/main/STLs/Pen_Clip_Block.stl" TargetMode="External" Id="rId189"/><Relationship Type="http://schemas.openxmlformats.org/officeDocument/2006/relationships/hyperlink" Target="https://github.com/theworkisthework/terraPen-mechanical-design-files/blob/main/STLs/Pen_Clip_Latch.stl" TargetMode="External" Id="rId190"/><Relationship Type="http://schemas.openxmlformats.org/officeDocument/2006/relationships/hyperlink" Target="https://github.com/theworkisthework/terraPen-mechanical-design-files/blob/main/STLs/Pen_Clip_Link.stl" TargetMode="External" Id="rId191"/><Relationship Type="http://schemas.openxmlformats.org/officeDocument/2006/relationships/hyperlink" Target="https://github.com/theworkisthework/terraPen-mechanical-design-files/blob/main/STLs/Electronics%20Enclosure.stl" TargetMode="External" Id="rId192"/><Relationship Type="http://schemas.openxmlformats.org/officeDocument/2006/relationships/hyperlink" Target="https://github.com/theworkisthework/terraPen-mechanical-design-files/blob/main/STLs/Power_Enclosure_Box.stl" TargetMode="External" Id="rId193"/><Relationship Type="http://schemas.openxmlformats.org/officeDocument/2006/relationships/hyperlink" Target="https://github.com/theworkisthework/terraPen-mechanical-design-files/blob/main/STLs/Power_Enclosure_Back.stl" TargetMode="External" Id="rId194"/><Relationship Type="http://schemas.openxmlformats.org/officeDocument/2006/relationships/hyperlink" Target="https://github.com/theworkisthework/terraPen-mechanical-design-files/blob/main/STLs/Xx_Endstop_Top%20.stl" TargetMode="External" Id="rId195"/><Relationship Type="http://schemas.openxmlformats.org/officeDocument/2006/relationships/hyperlink" Target="https://github.com/theworkisthework/terraPen-mechanical-design-files/blob/main/STLs/Xx_Endstop_Bottom.stl" TargetMode="External" Id="rId196"/><Relationship Type="http://schemas.openxmlformats.org/officeDocument/2006/relationships/hyperlink" Target="https://github.com/theworkisthework/terraPen-mechanical-design-files/blob/main/STLs/Y_Endstop_Mount.stl" TargetMode="External" Id="rId197"/><Relationship Type="http://schemas.openxmlformats.org/officeDocument/2006/relationships/hyperlink" Target="https://github.com/theworkisthework/terraPen-mechanical-design-files/blob/main/STLs/8xTPU_Bumper.stl" TargetMode="External" Id="rId198"/><Relationship Type="http://schemas.openxmlformats.org/officeDocument/2006/relationships/hyperlink" Target="https://github.com/theworkisthework/terraPen-mechanical-design-files/blob/main/STLs/Cable%20Cap%20for%20Extrusion.stl" TargetMode="External" Id="rId199"/><Relationship Type="http://schemas.openxmlformats.org/officeDocument/2006/relationships/hyperlink" Target="https://github.com/theworkisthework/terraPen-mechanical-design-files/blob/main/STLs/skinnyClipMount.stl" TargetMode="External" Id="rId200"/><Relationship Type="http://schemas.openxmlformats.org/officeDocument/2006/relationships/hyperlink" Target="https://github.com/theworkisthework/terraPen-mechanical-design-files/blob/main/STLs/stepper_tool_carriage.stl" TargetMode="External" Id="rId201"/><Relationship Type="http://schemas.openxmlformats.org/officeDocument/2006/relationships/hyperlink" Target="https://github.com/theworkisthework/terraPen-mechanical-design-files/blob/main/STLs/stepper_pen_mount.stl" TargetMode="External" Id="rId202"/><Relationship Type="http://schemas.openxmlformats.org/officeDocument/2006/relationships/hyperlink" Target="https://github.com/theworkisthework/terraPen-mechanical-design-files/blob/main/STLs/stepper_pen_mount_clamp.stl" TargetMode="External" Id="rId203"/><Relationship Type="http://schemas.openxmlformats.org/officeDocument/2006/relationships/hyperlink" Target="https://github.com/theworkisthework/terraPen-mechanical-design-files/blob/main/STLs/stepper%20belt%20pulley.stl" TargetMode="External" Id="rId204"/><Relationship Type="http://schemas.openxmlformats.org/officeDocument/2006/relationships/hyperlink" Target="https://github.com/theworkisthework/terraPen-mechanical-design-files/blob/main/STLs/Nema14mount2carriage.stl" TargetMode="External" Id="rId205"/><Relationship Type="http://schemas.openxmlformats.org/officeDocument/2006/relationships/hyperlink" Target="https://github.com/theworkisthework/terraPen-mechanical-design-files/blob/main/STLs/TPU%20Bungs/10mm%20Tapered%20Bung.stl" TargetMode="External" Id="rId206"/><Relationship Type="http://schemas.openxmlformats.org/officeDocument/2006/relationships/hyperlink" Target="https://github.com/theworkisthework/terraPen-mechanical-design-files/blob/main/STLs/TPU%20Bungs/11mm%20Tapered%20Bung.stl" TargetMode="External" Id="rId207"/><Relationship Type="http://schemas.openxmlformats.org/officeDocument/2006/relationships/hyperlink" Target="https://github.com/theworkisthework/terraPen-mechanical-design-files/blob/main/STLs/TPU%20Bungs/12mm%20Aperture%20Bung.stl" TargetMode="External" Id="rId208"/><Relationship Type="http://schemas.openxmlformats.org/officeDocument/2006/relationships/hyperlink" Target="https://github.com/theworkisthework/terraPen-mechanical-design-files/blob/main/STLs/TPU%20Bungs/15mm%20Aperture%20Bung.stl" TargetMode="External" Id="rId209"/><Relationship Type="http://schemas.openxmlformats.org/officeDocument/2006/relationships/hyperlink" Target="https://github.com/theworkisthework/terraPen-mechanical-design-files/blob/main/STLs/TPU%20Bungs/16_3mm%20Tapered%20Bung.stl" TargetMode="External" Id="rId210"/><Relationship Type="http://schemas.openxmlformats.org/officeDocument/2006/relationships/hyperlink" Target="https://github.com/theworkisthework/terraPen-mechanical-design-files/blob/main/STLs/TPU%20Bungs/4mm%20Aperture%20Bung.stl" TargetMode="External" Id="rId211"/><Relationship Type="http://schemas.openxmlformats.org/officeDocument/2006/relationships/hyperlink" Target="https://github.com/theworkisthework/terraPen-mechanical-design-files/blob/main/STLs/TPU%20Bungs/6mm%20Aperture%20Bung.stl" TargetMode="External" Id="rId212"/><Relationship Type="http://schemas.openxmlformats.org/officeDocument/2006/relationships/hyperlink" Target="https://github.com/theworkisthework/terraPen-mechanical-design-files/blob/main/STLs/TPU%20Bungs/8mm%20Tapered%20Bung.stl" TargetMode="External" Id="rId213"/><Relationship Type="http://schemas.openxmlformats.org/officeDocument/2006/relationships/hyperlink" Target="https://github.com/theworkisthework/terraPen-mechanical-design-files/blob/main/STLs/TPU%20Bungs/9mm%20Aperture%20Bung.stl" TargetMode="External" Id="rId214"/><Relationship Type="http://schemas.openxmlformats.org/officeDocument/2006/relationships/hyperlink" Target="https://github.com/theworkisthework/terraPen-mechanical-design-files/blob/main/STLs/TPU%20Bungs/9mm%20Tapered%20Bung.stl" TargetMode="External" Id="rId215"/><Relationship Type="http://schemas.openxmlformats.org/officeDocument/2006/relationships/hyperlink" Target="https://github.com/theworkisthework/terraPen-mechanical-design-files/blob/main/Stepper_Z_Axis_Experimental/Pen%20Holder%20Insert.FCStd" TargetMode="External" Id="rId216"/><Relationship Type="http://schemas.openxmlformats.org/officeDocument/2006/relationships/hyperlink" Target="https://github.com/theworkisthework/terraPen-mechanical-design-files/blob/main/STLs/D_Line_20x10_Flat_corner.stl" TargetMode="External" Id="rId217"/><Relationship Type="http://schemas.openxmlformats.org/officeDocument/2006/relationships/hyperlink" Target="https://github.com/theworkisthework/terraPen-mechanical-design-files/blob/main/STLs/CHAIN_SUPPORT.stl" TargetMode="External" Id="rId218"/><Relationship Type="http://schemas.openxmlformats.org/officeDocument/2006/relationships/hyperlink" Target="https://thepihut.com/products/heat-set-insert-for-soldering-irons-4-40-m3-inserts" TargetMode="External" Id="rId219"/><Relationship Type="http://schemas.openxmlformats.org/officeDocument/2006/relationships/hyperlink" Target="https://uk.rs-online.com/web/p/threading-taps/2666568" TargetMode="External" Id="rId220"/><Relationship Type="http://schemas.openxmlformats.org/officeDocument/2006/relationships/hyperlink" Target="https://www.amazon.co.uk/IWISS-Crimping-0-08-1-0-Ratcheting-Connector/dp/B01N4L8QMW?th=1" TargetMode="External" Id="rId221"/></Relationships>
</file>

<file path=xl/worksheets/sheet1.xml><?xml version="1.0" encoding="utf-8"?>
<worksheet xmlns="http://schemas.openxmlformats.org/spreadsheetml/2006/main">
  <sheetPr>
    <outlinePr summaryBelow="1" summaryRight="1"/>
    <pageSetUpPr fitToPage="1"/>
  </sheetPr>
  <dimension ref="A1:J142"/>
  <sheetViews>
    <sheetView showGridLine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8" customWidth="1" min="2" max="2"/>
    <col width="30" customWidth="1" min="3" max="3"/>
    <col width="6" customWidth="1" min="4" max="4"/>
    <col width="26" customWidth="1" min="5" max="5"/>
    <col width="22" customWidth="1" min="6" max="6"/>
    <col width="11" customWidth="1" min="7" max="7"/>
    <col width="8" customWidth="1" min="8" max="8"/>
    <col width="9" customWidth="1" min="9" max="9"/>
    <col width="11" customWidth="1" min="10" max="10"/>
    <col width="8.43" customWidth="1" min="11" max="11"/>
    <col width="8.43" customWidth="1" min="12" max="12"/>
    <col width="8.43" customWidth="1" min="13" max="13"/>
    <col width="8.43" customWidth="1" min="14" max="14"/>
    <col width="8.43" customWidth="1" min="15" max="15"/>
    <col width="8.43" customWidth="1" min="16" max="16"/>
  </cols>
  <sheetData>
    <row r="1">
      <c r="A1" s="1" t="inlineStr">
        <is>
          <t>terraPen A2 – Bill of Materials (v2.4)</t>
        </is>
      </c>
    </row>
    <row r="2" ht="26" customHeight="1">
      <c r="A2" s="2" t="inlineStr">
        <is>
          <t>Public bill of materials for one terraPen A2. Prices are kept in a separate internal workbook.</t>
        </is>
      </c>
    </row>
    <row r="3">
      <c r="A3" s="3" t="inlineStr">
        <is>
          <t>Status:</t>
        </is>
      </c>
      <c r="B3" s="33" t="inlineStr">
        <is>
          <t>OK – matches old master</t>
        </is>
      </c>
      <c r="C3" s="34" t="inlineStr">
        <is>
          <t>CHANGED – qty differs from old master</t>
        </is>
      </c>
      <c r="D3" s="35" t="n"/>
      <c r="E3" s="36" t="inlineStr">
        <is>
          <t>NEW – missing from old master</t>
        </is>
      </c>
      <c r="F3" s="37" t="inlineStr">
        <is>
          <t>CHECK – needs your decision</t>
        </is>
      </c>
      <c r="G3" s="35" t="n"/>
      <c r="H3" s="35" t="n"/>
    </row>
    <row r="5" ht="30" customHeight="1">
      <c r="A5" s="9" t="inlineStr">
        <is>
          <t>Ref</t>
        </is>
      </c>
      <c r="B5" s="10" t="inlineStr">
        <is>
          <t>Part</t>
        </is>
      </c>
      <c r="C5" s="10" t="inlineStr">
        <is>
          <t>Spec / size</t>
        </is>
      </c>
      <c r="D5" s="9" t="inlineStr">
        <is>
          <t>Qty</t>
        </is>
      </c>
      <c r="E5" s="10" t="inlineStr">
        <is>
          <t>Used in</t>
        </is>
      </c>
      <c r="F5" s="10" t="inlineStr">
        <is>
          <t>Supplier</t>
        </is>
      </c>
      <c r="G5" s="9" t="inlineStr">
        <is>
          <t>Primary link</t>
        </is>
      </c>
      <c r="H5" s="9" t="inlineStr">
        <is>
          <t>eBay UK</t>
        </is>
      </c>
      <c r="I5" s="9" t="inlineStr">
        <is>
          <t>Amazon UK</t>
        </is>
      </c>
      <c r="J5" s="9" t="inlineStr">
        <is>
          <t>AliExpress</t>
        </is>
      </c>
    </row>
    <row r="6" ht="20" customHeight="1">
      <c r="A6" s="11" t="inlineStr">
        <is>
          <t>1  FRAME &amp; STRUCTURE</t>
        </is>
      </c>
      <c r="B6" s="11" t="n"/>
      <c r="C6" s="11" t="n"/>
      <c r="D6" s="11" t="n"/>
      <c r="E6" s="11" t="n"/>
      <c r="F6" s="11" t="n"/>
      <c r="G6" s="11" t="n"/>
      <c r="H6" s="11" t="n"/>
      <c r="I6" s="11" t="n"/>
      <c r="J6" s="11" t="n"/>
    </row>
    <row r="7">
      <c r="A7" s="12" t="inlineStr">
        <is>
          <t>1.01</t>
        </is>
      </c>
      <c r="B7" s="13" t="inlineStr">
        <is>
          <t>2020 T-slot extrusion</t>
        </is>
      </c>
      <c r="C7" s="13" t="inlineStr">
        <is>
          <t>760 mm, cut, M5 tapped both ends</t>
        </is>
      </c>
      <c r="D7" s="12" t="n">
        <v>4</v>
      </c>
      <c r="E7" s="13" t="inlineStr">
        <is>
          <t>Frame – width</t>
        </is>
      </c>
      <c r="F7" s="13" t="inlineStr">
        <is>
          <t>KJN Aluminium Profile (cut to size)</t>
        </is>
      </c>
      <c r="G7" s="14" t="inlineStr">
        <is>
          <t>Open page</t>
        </is>
      </c>
      <c r="H7" s="14" t="inlineStr">
        <is>
          <t>eBay</t>
        </is>
      </c>
      <c r="I7" s="14" t="inlineStr">
        <is>
          <t>Amazon</t>
        </is>
      </c>
      <c r="J7" s="14" t="inlineStr">
        <is>
          <t>AliExpress</t>
        </is>
      </c>
    </row>
    <row r="8">
      <c r="A8" s="12" t="inlineStr">
        <is>
          <t>1.02</t>
        </is>
      </c>
      <c r="B8" s="13" t="inlineStr">
        <is>
          <t>2020 T-slot extrusion</t>
        </is>
      </c>
      <c r="C8" s="13" t="inlineStr">
        <is>
          <t>560 mm, cut, M5 tapped both ends</t>
        </is>
      </c>
      <c r="D8" s="12" t="n">
        <v>4</v>
      </c>
      <c r="E8" s="13" t="inlineStr">
        <is>
          <t>Frame – length</t>
        </is>
      </c>
      <c r="F8" s="13" t="inlineStr">
        <is>
          <t>KJN Aluminium Profile (cut to size)</t>
        </is>
      </c>
      <c r="G8" s="14" t="inlineStr">
        <is>
          <t>Open page</t>
        </is>
      </c>
      <c r="H8" s="14" t="inlineStr">
        <is>
          <t>eBay</t>
        </is>
      </c>
      <c r="I8" s="14" t="inlineStr">
        <is>
          <t>Amazon</t>
        </is>
      </c>
      <c r="J8" s="14" t="inlineStr">
        <is>
          <t>AliExpress</t>
        </is>
      </c>
    </row>
    <row r="9">
      <c r="A9" s="12" t="inlineStr">
        <is>
          <t>1.03</t>
        </is>
      </c>
      <c r="B9" s="13" t="inlineStr">
        <is>
          <t>2020 T-slot extrusion</t>
        </is>
      </c>
      <c r="C9" s="13" t="inlineStr">
        <is>
          <t>710 mm, cut (X rail)</t>
        </is>
      </c>
      <c r="D9" s="12" t="n">
        <v>1</v>
      </c>
      <c r="E9" s="13" t="inlineStr">
        <is>
          <t>Frame – X rail</t>
        </is>
      </c>
      <c r="F9" s="13" t="inlineStr">
        <is>
          <t>KJN Aluminium Profile (cut to size)</t>
        </is>
      </c>
      <c r="G9" s="14" t="inlineStr">
        <is>
          <t>Open page</t>
        </is>
      </c>
      <c r="H9" s="14" t="inlineStr">
        <is>
          <t>eBay</t>
        </is>
      </c>
      <c r="I9" s="14" t="inlineStr">
        <is>
          <t>Amazon</t>
        </is>
      </c>
      <c r="J9" s="14" t="inlineStr">
        <is>
          <t>AliExpress</t>
        </is>
      </c>
    </row>
    <row r="10">
      <c r="A10" s="12" t="inlineStr">
        <is>
          <t>1.04</t>
        </is>
      </c>
      <c r="B10" s="13" t="inlineStr">
        <is>
          <t>2020 T-slot extrusion</t>
        </is>
      </c>
      <c r="C10" s="13" t="inlineStr">
        <is>
          <t>50 mm, cut (uprights / legs), M5 tapped both ends</t>
        </is>
      </c>
      <c r="D10" s="17" t="n">
        <v>4</v>
      </c>
      <c r="E10" s="13" t="inlineStr">
        <is>
          <t>Frame – height</t>
        </is>
      </c>
      <c r="F10" s="13" t="inlineStr">
        <is>
          <t>KJN Aluminium Profile (cut to size)</t>
        </is>
      </c>
      <c r="G10" s="14" t="inlineStr">
        <is>
          <t>Open page</t>
        </is>
      </c>
      <c r="H10" s="14" t="inlineStr">
        <is>
          <t>eBay</t>
        </is>
      </c>
      <c r="I10" s="14" t="inlineStr">
        <is>
          <t>Amazon</t>
        </is>
      </c>
      <c r="J10" s="14" t="inlineStr">
        <is>
          <t>AliExpress</t>
        </is>
      </c>
    </row>
    <row r="11">
      <c r="A11" s="12" t="inlineStr">
        <is>
          <t>1.05</t>
        </is>
      </c>
      <c r="B11" s="13" t="inlineStr">
        <is>
          <t>2020 corner cube connector</t>
        </is>
      </c>
      <c r="C11" s="13" t="inlineStr">
        <is>
          <t>3-way, 20x20x20, black, 6 mm T-slot; sold as 12 with screws</t>
        </is>
      </c>
      <c r="D11" s="12" t="n">
        <v>8</v>
      </c>
      <c r="E11" s="13" t="inlineStr">
        <is>
          <t>Frame – corners</t>
        </is>
      </c>
      <c r="F11" s="13" t="inlineStr">
        <is>
          <t>AliExpress (12 pcs)</t>
        </is>
      </c>
      <c r="G11" s="14" t="inlineStr">
        <is>
          <t>Open page</t>
        </is>
      </c>
      <c r="H11" s="14" t="inlineStr">
        <is>
          <t>eBay</t>
        </is>
      </c>
      <c r="I11" s="14" t="inlineStr">
        <is>
          <t>Amazon</t>
        </is>
      </c>
      <c r="J11" s="14" t="inlineStr">
        <is>
          <t>AliExpress</t>
        </is>
      </c>
    </row>
    <row r="12">
      <c r="A12" s="12" t="inlineStr">
        <is>
          <t>1.06</t>
        </is>
      </c>
      <c r="B12" s="13" t="inlineStr">
        <is>
          <t>2020 corner bracket</t>
        </is>
      </c>
      <c r="C12" s="13" t="inlineStr">
        <is>
          <t>90 degree, 20 x 20 x 17 mm aluminium; sold as 10 (5 machines)</t>
        </is>
      </c>
      <c r="D12" s="17" t="n">
        <v>2</v>
      </c>
      <c r="E12" s="13" t="inlineStr">
        <is>
          <t>Frame</t>
        </is>
      </c>
      <c r="F12" s="13" t="inlineStr">
        <is>
          <t>AliExpress (10 pcs)</t>
        </is>
      </c>
      <c r="G12" s="14" t="inlineStr">
        <is>
          <t>Open page</t>
        </is>
      </c>
      <c r="H12" s="14" t="inlineStr">
        <is>
          <t>eBay</t>
        </is>
      </c>
      <c r="I12" s="14" t="inlineStr">
        <is>
          <t>Amazon</t>
        </is>
      </c>
      <c r="J12" s="14" t="inlineStr">
        <is>
          <t>AliExpress</t>
        </is>
      </c>
    </row>
    <row r="13">
      <c r="A13" s="12" t="inlineStr">
        <is>
          <t>1.07</t>
        </is>
      </c>
      <c r="B13" s="13" t="inlineStr">
        <is>
          <t>Rubber feet</t>
        </is>
      </c>
      <c r="C13" s="13" t="inlineStr">
        <is>
          <t>20 mm dia x 15 mm high, conical black rubber with steel washer; sold in lots of 4 (one machine)</t>
        </is>
      </c>
      <c r="D13" s="12" t="n">
        <v>4</v>
      </c>
      <c r="E13" s="13" t="inlineStr">
        <is>
          <t>Frame – base</t>
        </is>
      </c>
      <c r="F13" s="13" t="inlineStr">
        <is>
          <t>AliExpress (lot of 4)</t>
        </is>
      </c>
      <c r="G13" s="14" t="inlineStr">
        <is>
          <t>Open page</t>
        </is>
      </c>
      <c r="H13" s="14" t="inlineStr">
        <is>
          <t>eBay</t>
        </is>
      </c>
      <c r="I13" s="14" t="inlineStr">
        <is>
          <t>Amazon</t>
        </is>
      </c>
      <c r="J13" s="14" t="inlineStr">
        <is>
          <t>AliExpress</t>
        </is>
      </c>
    </row>
    <row r="14">
      <c r="A14" s="12" t="inlineStr">
        <is>
          <t>1.09</t>
        </is>
      </c>
      <c r="B14" s="13" t="inlineStr">
        <is>
          <t>Metal baseboard with vinyl sticker</t>
        </is>
      </c>
      <c r="C14" s="13" t="inlineStr">
        <is>
          <t>Ferrous Dibond-style composite, cut to shape; profile 'tP_Bed_Profile_Revised.dxf', artwork 'Diabond vinyl revised .ai' (both in /metal bed)</t>
        </is>
      </c>
      <c r="D14" s="17" t="n">
        <v>1</v>
      </c>
      <c r="E14" s="13" t="inlineStr">
        <is>
          <t>Base</t>
        </is>
      </c>
      <c r="F14" s="13" t="inlineStr">
        <is>
          <t>Local sign shop</t>
        </is>
      </c>
      <c r="G14" s="14" t="inlineStr">
        <is>
          <t>DXF file</t>
        </is>
      </c>
      <c r="H14" s="12" t="inlineStr">
        <is>
          <t>–</t>
        </is>
      </c>
      <c r="I14" s="12" t="inlineStr">
        <is>
          <t>–</t>
        </is>
      </c>
      <c r="J14" s="12" t="inlineStr">
        <is>
          <t>–</t>
        </is>
      </c>
    </row>
    <row r="15" ht="20" customHeight="1">
      <c r="A15" s="12" t="inlineStr">
        <is>
          <t>1.10</t>
        </is>
      </c>
      <c r="B15" s="13" t="inlineStr">
        <is>
          <t>IR Cover reduction profile (5), black (cosmetic slot cover)</t>
        </is>
      </c>
      <c r="C15" s="13" t="inlineStr">
        <is>
          <t>KJN37080, 2 m lengths, fits the 5 mm slot; cut list about 5.8 m (6 x 560, 2 x 760, 1 x 710, 4 x 50 mm)</t>
        </is>
      </c>
      <c r="D15" s="17" t="n">
        <v>3</v>
      </c>
      <c r="E15" s="13" t="inlineStr">
        <is>
          <t>Frame – top and side trim, front legs</t>
        </is>
      </c>
      <c r="F15" s="13" t="inlineStr">
        <is>
          <t>KJN Aluminium Profile</t>
        </is>
      </c>
      <c r="G15" s="14" t="inlineStr">
        <is>
          <t>Open page</t>
        </is>
      </c>
      <c r="H15" s="12" t="n"/>
      <c r="I15" s="12" t="n"/>
      <c r="J15" s="12" t="n"/>
    </row>
    <row r="16" ht="20" customHeight="1">
      <c r="A16" s="12" t="inlineStr">
        <is>
          <t>1.11</t>
        </is>
      </c>
      <c r="B16" s="13" t="inlineStr">
        <is>
          <t>Corner cube hole caps, plastic</t>
        </is>
      </c>
      <c r="C16" s="13" t="inlineStr">
        <is>
          <t>11 mm plastic caps; sold as 100 pcs</t>
        </is>
      </c>
      <c r="D16" s="17" t="n">
        <v>12</v>
      </c>
      <c r="E16" s="13" t="inlineStr">
        <is>
          <t>Frame corners (cubes)</t>
        </is>
      </c>
      <c r="F16" s="13" t="inlineStr">
        <is>
          <t>eBay UK (100 pcs)</t>
        </is>
      </c>
      <c r="G16" s="14" t="inlineStr">
        <is>
          <t>Open page</t>
        </is>
      </c>
      <c r="H16" s="12" t="n"/>
      <c r="I16" s="12" t="n"/>
      <c r="J16" s="12" t="n"/>
    </row>
    <row r="17" ht="20" customHeight="1">
      <c r="A17" s="12" t="inlineStr">
        <is>
          <t>1.12</t>
        </is>
      </c>
      <c r="B17" s="13" t="inlineStr">
        <is>
          <t>Rubber bungs</t>
        </is>
      </c>
      <c r="C17" s="13" t="inlineStr">
        <is>
          <t>11 mm rubber bungs; sold as 50 pcs</t>
        </is>
      </c>
      <c r="D17" s="17" t="n">
        <v>8</v>
      </c>
      <c r="E17" s="13" t="inlineStr">
        <is>
          <t>Both sides of the plotter</t>
        </is>
      </c>
      <c r="F17" s="13" t="inlineStr">
        <is>
          <t>eBay UK (50 pcs)</t>
        </is>
      </c>
      <c r="G17" s="14" t="inlineStr">
        <is>
          <t>Open page</t>
        </is>
      </c>
      <c r="H17" s="12" t="n"/>
      <c r="I17" s="12" t="n"/>
      <c r="J17" s="12" t="n"/>
    </row>
    <row r="18" ht="20" customHeight="1">
      <c r="A18" s="12" t="inlineStr">
        <is>
          <t>1.13</t>
        </is>
      </c>
      <c r="B18" s="13" t="inlineStr">
        <is>
          <t>Neodymium magnets</t>
        </is>
      </c>
      <c r="C18" s="13" t="inlineStr">
        <is>
          <t>Strong rare-earth magnets; sold as 50</t>
        </is>
      </c>
      <c r="D18" s="17" t="n">
        <v>4</v>
      </c>
      <c r="E18" s="13" t="inlineStr">
        <is>
          <t>Metal bed (4 per machine); where exactly to confirm</t>
        </is>
      </c>
      <c r="F18" s="13" t="inlineStr">
        <is>
          <t>eBay UK (50 pcs)</t>
        </is>
      </c>
      <c r="G18" s="14" t="inlineStr">
        <is>
          <t>Open page</t>
        </is>
      </c>
      <c r="H18" s="12" t="n"/>
      <c r="I18" s="12" t="n"/>
      <c r="J18" s="12" t="n"/>
    </row>
    <row r="19" ht="20" customHeight="1">
      <c r="A19" s="12" t="inlineStr">
        <is>
          <t>1.14</t>
        </is>
      </c>
      <c r="B19" s="13" t="inlineStr">
        <is>
          <t>Neodymium magnets, black, second listing</t>
        </is>
      </c>
      <c r="C19" s="13" t="inlineStr">
        <is>
          <t>Sold as 4</t>
        </is>
      </c>
      <c r="D19" s="17" t="n">
        <v>4</v>
      </c>
      <c r="E19" s="13" t="inlineStr">
        <is>
          <t>To confirm</t>
        </is>
      </c>
      <c r="F19" s="13" t="inlineStr">
        <is>
          <t>eBay UK (4 pcs)</t>
        </is>
      </c>
      <c r="G19" s="14" t="inlineStr">
        <is>
          <t>Open page</t>
        </is>
      </c>
      <c r="H19" s="12" t="n"/>
      <c r="I19" s="12" t="n"/>
      <c r="J19" s="12" t="n"/>
    </row>
    <row r="20" ht="20" customHeight="1">
      <c r="A20" s="11" t="inlineStr">
        <is>
          <t>2  LINEAR MOTION</t>
        </is>
      </c>
      <c r="B20" s="11" t="n"/>
      <c r="C20" s="11" t="n"/>
      <c r="D20" s="11" t="n"/>
      <c r="E20" s="11" t="n"/>
      <c r="F20" s="11" t="n"/>
      <c r="G20" s="11" t="n"/>
      <c r="H20" s="11" t="n"/>
      <c r="I20" s="11" t="n"/>
      <c r="J20" s="11" t="n"/>
    </row>
    <row r="21">
      <c r="A21" s="12" t="inlineStr">
        <is>
          <t>2.01</t>
        </is>
      </c>
      <c r="B21" s="13" t="inlineStr">
        <is>
          <t>Linear rail + 1 block, MGN9H</t>
        </is>
      </c>
      <c r="C21" s="13" t="inlineStr">
        <is>
          <t>540 mm (Y axis)</t>
        </is>
      </c>
      <c r="D21" s="12" t="n">
        <v>2</v>
      </c>
      <c r="E21" s="13" t="inlineStr">
        <is>
          <t>Y left / Y right</t>
        </is>
      </c>
      <c r="F21" s="13" t="inlineStr">
        <is>
          <t>Jugetek (custom cut)</t>
        </is>
      </c>
      <c r="G21" s="14" t="inlineStr">
        <is>
          <t>Open page</t>
        </is>
      </c>
      <c r="H21" s="14" t="inlineStr">
        <is>
          <t>eBay</t>
        </is>
      </c>
      <c r="I21" s="14" t="inlineStr">
        <is>
          <t>Amazon</t>
        </is>
      </c>
      <c r="J21" s="14" t="inlineStr">
        <is>
          <t>AliExpress</t>
        </is>
      </c>
    </row>
    <row r="22">
      <c r="A22" s="12" t="inlineStr">
        <is>
          <t>2.02</t>
        </is>
      </c>
      <c r="B22" s="13" t="inlineStr">
        <is>
          <t>Linear rail + 1 block, MGN9H</t>
        </is>
      </c>
      <c r="C22" s="13" t="inlineStr">
        <is>
          <t>710 mm (X axis)</t>
        </is>
      </c>
      <c r="D22" s="17" t="n">
        <v>1</v>
      </c>
      <c r="E22" s="13" t="inlineStr">
        <is>
          <t>X rail / carriage</t>
        </is>
      </c>
      <c r="F22" s="13" t="inlineStr">
        <is>
          <t>Jugetek (custom cut)</t>
        </is>
      </c>
      <c r="G22" s="14" t="inlineStr">
        <is>
          <t>Open page</t>
        </is>
      </c>
      <c r="H22" s="14" t="inlineStr">
        <is>
          <t>eBay</t>
        </is>
      </c>
      <c r="I22" s="14" t="inlineStr">
        <is>
          <t>Amazon</t>
        </is>
      </c>
      <c r="J22" s="14" t="inlineStr">
        <is>
          <t>AliExpress</t>
        </is>
      </c>
    </row>
    <row r="23">
      <c r="A23" s="12" t="inlineStr">
        <is>
          <t>2.03</t>
        </is>
      </c>
      <c r="B23" s="13" t="inlineStr">
        <is>
          <t>Linear rail + 1 block, MGN7H</t>
        </is>
      </c>
      <c r="C23" s="13" t="inlineStr">
        <is>
          <t>50 mm (Z / pen lift)</t>
        </is>
      </c>
      <c r="D23" s="17" t="n">
        <v>1</v>
      </c>
      <c r="E23" s="13" t="inlineStr">
        <is>
          <t>Tool head</t>
        </is>
      </c>
      <c r="F23" s="13" t="inlineStr">
        <is>
          <t>Jugetek (custom cut)</t>
        </is>
      </c>
      <c r="G23" s="14" t="inlineStr">
        <is>
          <t>Open page</t>
        </is>
      </c>
      <c r="H23" s="14" t="inlineStr">
        <is>
          <t>eBay</t>
        </is>
      </c>
      <c r="I23" s="14" t="inlineStr">
        <is>
          <t>Amazon</t>
        </is>
      </c>
      <c r="J23" s="14" t="inlineStr">
        <is>
          <t>AliExpress</t>
        </is>
      </c>
    </row>
    <row r="24" ht="20" customHeight="1">
      <c r="A24" s="11" t="inlineStr">
        <is>
          <t>3  DRIVE – BELTS, PULLEYS, MOTORS</t>
        </is>
      </c>
      <c r="B24" s="11" t="n"/>
      <c r="C24" s="11" t="n"/>
      <c r="D24" s="11" t="n"/>
      <c r="E24" s="11" t="n"/>
      <c r="F24" s="11" t="n"/>
      <c r="G24" s="11" t="n"/>
      <c r="H24" s="11" t="n"/>
      <c r="I24" s="11" t="n"/>
      <c r="J24" s="11" t="n"/>
    </row>
    <row r="25">
      <c r="A25" s="12" t="inlineStr">
        <is>
          <t>3.01</t>
        </is>
      </c>
      <c r="B25" s="13" t="inlineStr">
        <is>
          <t>GT2 timing belt, open</t>
        </is>
      </c>
      <c r="C25" s="13" t="inlineStr">
        <is>
          <t>6 mm wide, open-ended, rubber/aramid; 4.2 m per machine (qty is in metres)</t>
        </is>
      </c>
      <c r="D25" s="12" t="n">
        <v>4.2</v>
      </c>
      <c r="E25" s="13" t="inlineStr">
        <is>
          <t>X and Y belts</t>
        </is>
      </c>
      <c r="F25" s="13" t="inlineStr">
        <is>
          <t>AliExpress (5 m length)</t>
        </is>
      </c>
      <c r="G25" s="14" t="inlineStr">
        <is>
          <t>Open page</t>
        </is>
      </c>
      <c r="H25" s="14" t="inlineStr">
        <is>
          <t>eBay</t>
        </is>
      </c>
      <c r="I25" s="14" t="inlineStr">
        <is>
          <t>Amazon</t>
        </is>
      </c>
      <c r="J25" s="14" t="inlineStr">
        <is>
          <t>AliExpress</t>
        </is>
      </c>
    </row>
    <row r="26">
      <c r="A26" s="12" t="inlineStr">
        <is>
          <t>3.02</t>
        </is>
      </c>
      <c r="B26" s="13" t="inlineStr">
        <is>
          <t>GT2 pulley, toothed drive</t>
        </is>
      </c>
      <c r="C26" s="13" t="inlineStr">
        <is>
          <t>20T, 5 mm bore, 6 mm belt; sold as 10</t>
        </is>
      </c>
      <c r="D26" s="12" t="n">
        <v>2</v>
      </c>
      <c r="E26" s="13" t="inlineStr">
        <is>
          <t>X motor, Y motor</t>
        </is>
      </c>
      <c r="F26" s="13" t="inlineStr">
        <is>
          <t>AliExpress (10 pcs)</t>
        </is>
      </c>
      <c r="G26" s="14" t="inlineStr">
        <is>
          <t>Open page</t>
        </is>
      </c>
      <c r="H26" s="14" t="inlineStr">
        <is>
          <t>eBay</t>
        </is>
      </c>
      <c r="I26" s="14" t="inlineStr">
        <is>
          <t>Amazon</t>
        </is>
      </c>
      <c r="J26" s="14" t="inlineStr">
        <is>
          <t>AliExpress</t>
        </is>
      </c>
    </row>
    <row r="27">
      <c r="A27" s="12" t="inlineStr">
        <is>
          <t>3.03</t>
        </is>
      </c>
      <c r="B27" s="13" t="inlineStr">
        <is>
          <t>GT2 idler, smooth</t>
        </is>
      </c>
      <c r="C27" s="13" t="inlineStr">
        <is>
          <t>20T smooth (no teeth), 5 mm bore, 6 mm belt, with bearing; sold as 4</t>
        </is>
      </c>
      <c r="D27" s="12" t="n">
        <v>4</v>
      </c>
      <c r="E27" s="13" t="inlineStr">
        <is>
          <t>X/Y idlers, Y left/right, motor mounts</t>
        </is>
      </c>
      <c r="F27" s="13" t="inlineStr">
        <is>
          <t>AliExpress (4 pcs)</t>
        </is>
      </c>
      <c r="G27" s="14" t="inlineStr">
        <is>
          <t>Open page</t>
        </is>
      </c>
      <c r="H27" s="14" t="inlineStr">
        <is>
          <t>eBay</t>
        </is>
      </c>
      <c r="I27" s="14" t="inlineStr">
        <is>
          <t>Amazon</t>
        </is>
      </c>
      <c r="J27" s="14" t="inlineStr">
        <is>
          <t>AliExpress</t>
        </is>
      </c>
    </row>
    <row r="28">
      <c r="A28" s="12" t="inlineStr">
        <is>
          <t>3.04</t>
        </is>
      </c>
      <c r="B28" s="13" t="inlineStr">
        <is>
          <t>GT2 idler, toothed</t>
        </is>
      </c>
      <c r="C28" s="13" t="inlineStr">
        <is>
          <t>20T, 5 mm bore, 6 mm belt, with bearing; sold as 10</t>
        </is>
      </c>
      <c r="D28" s="12" t="n">
        <v>8</v>
      </c>
      <c r="E28" s="13" t="inlineStr">
        <is>
          <t>X/Y idlers, Y left/right, motor mounts</t>
        </is>
      </c>
      <c r="F28" s="13" t="inlineStr">
        <is>
          <t>AliExpress (10 pcs)</t>
        </is>
      </c>
      <c r="G28" s="14" t="inlineStr">
        <is>
          <t>Open page</t>
        </is>
      </c>
      <c r="H28" s="14" t="inlineStr">
        <is>
          <t>eBay</t>
        </is>
      </c>
      <c r="I28" s="14" t="inlineStr">
        <is>
          <t>Amazon</t>
        </is>
      </c>
      <c r="J28" s="14" t="inlineStr">
        <is>
          <t>AliExpress</t>
        </is>
      </c>
    </row>
    <row r="29">
      <c r="A29" s="12" t="inlineStr">
        <is>
          <t>3.05</t>
        </is>
      </c>
      <c r="B29" s="13" t="inlineStr">
        <is>
          <t>NEMA 17 stepper motor, 17HS15-1504S-X1</t>
        </is>
      </c>
      <c r="C29" s="13" t="inlineStr">
        <is>
          <t>42x42x39 mm (page also says 40), 1.8 deg, 1.5 A, 45 N.cm, 2.3 ohm, 4.4 mH; 5 mm D-cut shaft; 1 m lead with pin connector</t>
        </is>
      </c>
      <c r="D29" s="17" t="n">
        <v>2</v>
      </c>
      <c r="E29" s="13" t="inlineStr">
        <is>
          <t>X motor, Y motor</t>
        </is>
      </c>
      <c r="F29" s="13" t="inlineStr">
        <is>
          <t>StepperOnline UK</t>
        </is>
      </c>
      <c r="G29" s="14" t="inlineStr">
        <is>
          <t>Open page</t>
        </is>
      </c>
      <c r="H29" s="14" t="inlineStr">
        <is>
          <t>eBay</t>
        </is>
      </c>
      <c r="I29" s="14" t="inlineStr">
        <is>
          <t>Amazon</t>
        </is>
      </c>
      <c r="J29" s="14" t="inlineStr">
        <is>
          <t>AliExpress</t>
        </is>
      </c>
    </row>
    <row r="30" ht="20" customHeight="1">
      <c r="A30" s="11" t="inlineStr">
        <is>
          <t>4  ELECTRONICS</t>
        </is>
      </c>
      <c r="B30" s="11" t="n"/>
      <c r="C30" s="11" t="n"/>
      <c r="D30" s="11" t="n"/>
      <c r="E30" s="11" t="n"/>
      <c r="F30" s="11" t="n"/>
      <c r="G30" s="11" t="n"/>
      <c r="H30" s="11" t="n"/>
      <c r="I30" s="11" t="n"/>
      <c r="J30" s="11" t="n"/>
    </row>
    <row r="31">
      <c r="A31" s="12" t="inlineStr">
        <is>
          <t>4.01</t>
        </is>
      </c>
      <c r="B31" s="13" t="inlineStr">
        <is>
          <t>Emerald Dingo ESP32 plotter controller (RevB)</t>
        </is>
      </c>
      <c r="C31" s="13" t="inlineStr">
        <is>
          <t>FluidNC, 2-axis, TMC2130 driver sockets, USB-C</t>
        </is>
      </c>
      <c r="D31" s="12" t="n">
        <v>1</v>
      </c>
      <c r="E31" s="13" t="inlineStr">
        <is>
          <t>Electronics enclosure</t>
        </is>
      </c>
      <c r="F31" s="13" t="inlineStr">
        <is>
          <t>terrapen.xyz</t>
        </is>
      </c>
      <c r="G31" s="14" t="inlineStr">
        <is>
          <t>Open page</t>
        </is>
      </c>
      <c r="H31" s="12" t="inlineStr">
        <is>
          <t>–</t>
        </is>
      </c>
      <c r="I31" s="12" t="inlineStr">
        <is>
          <t>–</t>
        </is>
      </c>
      <c r="J31" s="12" t="inlineStr">
        <is>
          <t>–</t>
        </is>
      </c>
    </row>
    <row r="32">
      <c r="A32" s="12" t="inlineStr">
        <is>
          <t>4.02</t>
        </is>
      </c>
      <c r="B32" s="13" t="inlineStr">
        <is>
          <t>TMC2130 stepper driver</t>
        </is>
      </c>
      <c r="C32" s="13" t="inlineStr">
        <is>
          <t>3: X, Y and Z (Z via the Z-axis add-on)</t>
        </is>
      </c>
      <c r="D32" s="17" t="n">
        <v>3</v>
      </c>
      <c r="E32" s="13" t="inlineStr">
        <is>
          <t>Controller</t>
        </is>
      </c>
      <c r="F32" s="13" t="inlineStr">
        <is>
          <t>AliExpress</t>
        </is>
      </c>
      <c r="G32" s="14" t="inlineStr">
        <is>
          <t>Open page</t>
        </is>
      </c>
      <c r="H32" s="12" t="inlineStr">
        <is>
          <t>–</t>
        </is>
      </c>
      <c r="I32" s="12" t="inlineStr">
        <is>
          <t>–</t>
        </is>
      </c>
      <c r="J32" s="12" t="inlineStr">
        <is>
          <t>–</t>
        </is>
      </c>
    </row>
    <row r="33">
      <c r="A33" s="12" t="inlineStr">
        <is>
          <t>4.03</t>
        </is>
      </c>
      <c r="B33" s="13" t="inlineStr">
        <is>
          <t>Emerald Dingo Z-axis add-on</t>
        </is>
      </c>
      <c r="C33" s="13" t="inlineStr">
        <is>
          <t>Z motor add-on; the Z lead plugs into this</t>
        </is>
      </c>
      <c r="D33" s="17" t="n">
        <v>1</v>
      </c>
      <c r="E33" s="13" t="inlineStr">
        <is>
          <t>Controller</t>
        </is>
      </c>
      <c r="F33" s="13" t="inlineStr">
        <is>
          <t>terrapen.xyz</t>
        </is>
      </c>
      <c r="G33" s="14" t="inlineStr">
        <is>
          <t>Open page</t>
        </is>
      </c>
      <c r="H33" s="12" t="inlineStr">
        <is>
          <t>–</t>
        </is>
      </c>
      <c r="I33" s="12" t="inlineStr">
        <is>
          <t>–</t>
        </is>
      </c>
      <c r="J33" s="12" t="inlineStr">
        <is>
          <t>–</t>
        </is>
      </c>
    </row>
    <row r="34" ht="20" customHeight="1">
      <c r="A34" s="12" t="inlineStr">
        <is>
          <t>4.04</t>
        </is>
      </c>
      <c r="B34" s="13" t="inlineStr">
        <is>
          <t>Micro SD card, 2 GB</t>
        </is>
      </c>
      <c r="C34" s="13" t="inlineStr">
        <is>
          <t>Cloudisk 2 GB microSD with adapter; sold as 5</t>
        </is>
      </c>
      <c r="D34" s="12" t="n">
        <v>1</v>
      </c>
      <c r="E34" s="13" t="inlineStr">
        <is>
          <t>Controller</t>
        </is>
      </c>
      <c r="F34" s="13" t="inlineStr">
        <is>
          <t>Amazon UK (5 pack)</t>
        </is>
      </c>
      <c r="G34" s="14" t="inlineStr">
        <is>
          <t>Open page</t>
        </is>
      </c>
      <c r="H34" s="14" t="inlineStr">
        <is>
          <t>eBay</t>
        </is>
      </c>
      <c r="I34" s="14" t="inlineStr">
        <is>
          <t>Amazon</t>
        </is>
      </c>
      <c r="J34" s="14" t="inlineStr">
        <is>
          <t>AliExpress</t>
        </is>
      </c>
    </row>
    <row r="35">
      <c r="A35" s="12" t="inlineStr">
        <is>
          <t>4.05</t>
        </is>
      </c>
      <c r="B35" s="13" t="inlineStr">
        <is>
          <t>Power supply, 12 V dc, 2.5 A (Ideal Power 15DYS830-120250W-K)</t>
        </is>
      </c>
      <c r="C35" s="13" t="inlineStr">
        <is>
          <t>12 V 2.5 A, 2.1 x 5.5 mm centre-positive barrel plug, 1.5 m lead, interchangeable AU/EU/UK/US mains plugs</t>
        </is>
      </c>
      <c r="D35" s="17" t="n">
        <v>1</v>
      </c>
      <c r="E35" s="13" t="inlineStr">
        <is>
          <t>Power</t>
        </is>
      </c>
      <c r="F35" s="13" t="inlineStr">
        <is>
          <t>Farnell UK</t>
        </is>
      </c>
      <c r="G35" s="14" t="inlineStr">
        <is>
          <t>Open page</t>
        </is>
      </c>
      <c r="H35" s="14" t="inlineStr">
        <is>
          <t>eBay</t>
        </is>
      </c>
      <c r="I35" s="14" t="inlineStr">
        <is>
          <t>Amazon</t>
        </is>
      </c>
      <c r="J35" s="14" t="inlineStr">
        <is>
          <t>AliExpress</t>
        </is>
      </c>
    </row>
    <row r="36">
      <c r="A36" s="12" t="inlineStr">
        <is>
          <t>4.06</t>
        </is>
      </c>
      <c r="B36" s="13" t="inlineStr">
        <is>
          <t>Motor cable, 4-way</t>
        </is>
      </c>
      <c r="C36" s="13" t="inlineStr">
        <is>
          <t>4-core PVC cable, 26 AWG, flexible, unshielded, 920 mm, JST PH 2.0</t>
        </is>
      </c>
      <c r="D36" s="12" t="n">
        <v>1</v>
      </c>
      <c r="E36" s="13" t="inlineStr">
        <is>
          <t>X motor</t>
        </is>
      </c>
      <c r="F36" s="13" t="n"/>
      <c r="G36" s="12" t="inlineStr">
        <is>
          <t>–</t>
        </is>
      </c>
      <c r="H36" s="14" t="inlineStr">
        <is>
          <t>eBay</t>
        </is>
      </c>
      <c r="I36" s="14" t="inlineStr">
        <is>
          <t>Amazon</t>
        </is>
      </c>
      <c r="J36" s="14" t="inlineStr">
        <is>
          <t>AliExpress</t>
        </is>
      </c>
    </row>
    <row r="37">
      <c r="A37" s="12" t="inlineStr">
        <is>
          <t>4.07</t>
        </is>
      </c>
      <c r="B37" s="13" t="inlineStr">
        <is>
          <t>Motor cable, 4-way</t>
        </is>
      </c>
      <c r="C37" s="13" t="inlineStr">
        <is>
          <t>4-core PVC cable, 26 AWG, flexible, unshielded, 515 mm, JST PH 2.0</t>
        </is>
      </c>
      <c r="D37" s="12" t="n">
        <v>1</v>
      </c>
      <c r="E37" s="13" t="inlineStr">
        <is>
          <t>Y motor</t>
        </is>
      </c>
      <c r="F37" s="13" t="n"/>
      <c r="G37" s="12" t="inlineStr">
        <is>
          <t>–</t>
        </is>
      </c>
      <c r="H37" s="14" t="inlineStr">
        <is>
          <t>eBay</t>
        </is>
      </c>
      <c r="I37" s="14" t="inlineStr">
        <is>
          <t>Amazon</t>
        </is>
      </c>
      <c r="J37" s="14" t="inlineStr">
        <is>
          <t>AliExpress</t>
        </is>
      </c>
    </row>
    <row r="38">
      <c r="A38" s="12" t="inlineStr">
        <is>
          <t>4.08</t>
        </is>
      </c>
      <c r="B38" s="13" t="inlineStr">
        <is>
          <t>Hook-up wire, Alpha Wire 3049 BK001</t>
        </is>
      </c>
      <c r="C38" s="13" t="inlineStr">
        <is>
          <t>26 AWG PVC black, 7 x 34 tinned stranded, 300 V (order code 01-5540). Sold on a 1000 ft (304.8 m) reel; only part of it is used per machine</t>
        </is>
      </c>
      <c r="D38" s="17" t="n">
        <v>15</v>
      </c>
      <c r="E38" s="13" t="inlineStr">
        <is>
          <t>Z motor lead (4 x 2100 mm) and X endstop lead (3 x 2100 mm) = 14.7 m, 15 m with trimming</t>
        </is>
      </c>
      <c r="F38" s="13" t="inlineStr">
        <is>
          <t>Rapid Electronics</t>
        </is>
      </c>
      <c r="G38" s="14" t="inlineStr">
        <is>
          <t>Open page</t>
        </is>
      </c>
      <c r="H38" s="12" t="inlineStr">
        <is>
          <t>–</t>
        </is>
      </c>
      <c r="I38" s="12" t="inlineStr">
        <is>
          <t>–</t>
        </is>
      </c>
      <c r="J38" s="12" t="inlineStr">
        <is>
          <t>–</t>
        </is>
      </c>
    </row>
    <row r="39" ht="20" customHeight="1">
      <c r="A39" s="12" t="inlineStr">
        <is>
          <t>4.09</t>
        </is>
      </c>
      <c r="B39" s="13" t="inlineStr">
        <is>
          <t>Multicore cable, 4-core PVC</t>
        </is>
      </c>
      <c r="C39" s="13" t="inlineStr">
        <is>
          <t>26 AWG, flexible PVC, unshielded: X lead 920 mm + Y lead 515 mm (1.435 m), plus spare</t>
        </is>
      </c>
      <c r="D39" s="17" t="n">
        <v>1.5</v>
      </c>
      <c r="E39" s="13" t="inlineStr">
        <is>
          <t>X and Y motors</t>
        </is>
      </c>
      <c r="F39" s="13" t="inlineStr">
        <is>
          <t>eBay UK (20 m reel)</t>
        </is>
      </c>
      <c r="G39" s="14" t="inlineStr">
        <is>
          <t>Open page</t>
        </is>
      </c>
      <c r="H39" s="14" t="inlineStr">
        <is>
          <t>eBay</t>
        </is>
      </c>
      <c r="I39" s="14" t="inlineStr">
        <is>
          <t>Amazon</t>
        </is>
      </c>
      <c r="J39" s="14" t="inlineStr">
        <is>
          <t>AliExpress</t>
        </is>
      </c>
    </row>
    <row r="40">
      <c r="A40" s="12" t="inlineStr">
        <is>
          <t>4.10</t>
        </is>
      </c>
      <c r="B40" s="13" t="inlineStr">
        <is>
          <t>Multicore cable, 3-core PVC</t>
        </is>
      </c>
      <c r="C40" s="13" t="inlineStr">
        <is>
          <t>3-core PVC, 26 AWG (confirm); Y endstop lead only, 920 mm, plus spare</t>
        </is>
      </c>
      <c r="D40" s="17" t="n">
        <v>1</v>
      </c>
      <c r="E40" s="13" t="inlineStr">
        <is>
          <t>Y endstop</t>
        </is>
      </c>
      <c r="F40" s="13" t="inlineStr">
        <is>
          <t>eBay UK (20 m reel)</t>
        </is>
      </c>
      <c r="G40" s="14" t="inlineStr">
        <is>
          <t>Open page</t>
        </is>
      </c>
      <c r="H40" s="14" t="inlineStr">
        <is>
          <t>eBay</t>
        </is>
      </c>
      <c r="I40" s="14" t="inlineStr">
        <is>
          <t>Amazon</t>
        </is>
      </c>
      <c r="J40" s="14" t="inlineStr">
        <is>
          <t>AliExpress</t>
        </is>
      </c>
    </row>
    <row r="41">
      <c r="A41" s="12" t="inlineStr">
        <is>
          <t>4.11</t>
        </is>
      </c>
      <c r="B41" s="13" t="inlineStr">
        <is>
          <t>JST PH 2.0 connector kit</t>
        </is>
      </c>
      <c r="C41" s="13" t="inlineStr">
        <is>
          <t>420 pcs: PH housings (2 to 6-way, male and female) and 270 crimp terminals; sold as one kit</t>
        </is>
      </c>
      <c r="D41" s="17" t="n">
        <v>1</v>
      </c>
      <c r="E41" s="13" t="inlineStr">
        <is>
          <t>All JST PH plugs: controller ends (3 x 4-way motor/Z, 2 x 3-way endstop) and motor ends (2 x 6-way)</t>
        </is>
      </c>
      <c r="F41" s="13" t="inlineStr">
        <is>
          <t>eBay UK (kit)</t>
        </is>
      </c>
      <c r="G41" s="14" t="inlineStr">
        <is>
          <t>Open page</t>
        </is>
      </c>
      <c r="H41" s="14" t="inlineStr">
        <is>
          <t>eBay</t>
        </is>
      </c>
      <c r="I41" s="14" t="inlineStr">
        <is>
          <t>Amazon</t>
        </is>
      </c>
      <c r="J41" s="14" t="inlineStr">
        <is>
          <t>AliExpress</t>
        </is>
      </c>
    </row>
    <row r="42">
      <c r="A42" s="12" t="inlineStr">
        <is>
          <t>4.12</t>
        </is>
      </c>
      <c r="B42" s="13" t="inlineStr">
        <is>
          <t>Insulation tape for colour-coding</t>
        </is>
      </c>
      <c r="C42" s="13" t="inlineStr">
        <is>
          <t>Red, green, yellow and blue, cut into 1 mm strips wrapped near each crimp</t>
        </is>
      </c>
      <c r="D42" s="17" t="n">
        <v>4</v>
      </c>
      <c r="E42" s="13" t="inlineStr">
        <is>
          <t>Z lead and other single-core wires</t>
        </is>
      </c>
      <c r="F42" s="13" t="inlineStr">
        <is>
          <t>Local shop (similar on eBay)</t>
        </is>
      </c>
      <c r="G42" s="12" t="inlineStr">
        <is>
          <t>–</t>
        </is>
      </c>
      <c r="H42" s="14" t="inlineStr">
        <is>
          <t>eBay</t>
        </is>
      </c>
      <c r="I42" s="14" t="inlineStr">
        <is>
          <t>Amazon</t>
        </is>
      </c>
      <c r="J42" s="14" t="inlineStr">
        <is>
          <t>AliExpress</t>
        </is>
      </c>
    </row>
    <row r="43" ht="20" customHeight="1">
      <c r="A43" s="12" t="inlineStr">
        <is>
          <t>4.13</t>
        </is>
      </c>
      <c r="B43" s="13" t="inlineStr">
        <is>
          <t>JST SM 2.54 mm connector kit</t>
        </is>
      </c>
      <c r="C43" s="13" t="inlineStr">
        <is>
          <t>200 pcs: SM-02 to SM-05 male and female housings (5 of each) + 80 bare female and 80 bare male terminals</t>
        </is>
      </c>
      <c r="D43" s="17" t="n">
        <v>1</v>
      </c>
      <c r="E43" s="13" t="inlineStr">
        <is>
          <t>Z motor lead (1 x 4F, 1 x 4M); X and Y endstop leads (2 x 3F)</t>
        </is>
      </c>
      <c r="F43" s="13" t="inlineStr">
        <is>
          <t>eBay UK (kit)</t>
        </is>
      </c>
      <c r="G43" s="14" t="inlineStr">
        <is>
          <t>Open page</t>
        </is>
      </c>
      <c r="H43" s="14" t="inlineStr">
        <is>
          <t>eBay</t>
        </is>
      </c>
      <c r="I43" s="14" t="inlineStr">
        <is>
          <t>Amazon</t>
        </is>
      </c>
      <c r="J43" s="14" t="inlineStr">
        <is>
          <t>AliExpress</t>
        </is>
      </c>
    </row>
    <row r="44">
      <c r="A44" s="12" t="inlineStr">
        <is>
          <t>4.14</t>
        </is>
      </c>
      <c r="B44" s="13" t="inlineStr">
        <is>
          <t>Optical endstop</t>
        </is>
      </c>
      <c r="C44" s="13" t="inlineStr">
        <is>
          <t>3-pin module (SIG / GND / VCC)</t>
        </is>
      </c>
      <c r="D44" s="17" t="n">
        <v>2</v>
      </c>
      <c r="E44" s="13" t="inlineStr">
        <is>
          <t>X and Y limits</t>
        </is>
      </c>
      <c r="F44" s="13" t="inlineStr">
        <is>
          <t>Ooznest (SKU ESTOP-O)</t>
        </is>
      </c>
      <c r="G44" s="14" t="inlineStr">
        <is>
          <t>Open page</t>
        </is>
      </c>
      <c r="H44" s="14" t="inlineStr">
        <is>
          <t>eBay</t>
        </is>
      </c>
      <c r="I44" s="14" t="inlineStr">
        <is>
          <t>Amazon</t>
        </is>
      </c>
      <c r="J44" s="14" t="inlineStr">
        <is>
          <t>AliExpress</t>
        </is>
      </c>
    </row>
    <row r="45">
      <c r="A45" s="12" t="inlineStr">
        <is>
          <t>4.15</t>
        </is>
      </c>
      <c r="B45" s="13" t="inlineStr">
        <is>
          <t>Standoff, male-female, polyamide (WA-SPAIE)</t>
        </is>
      </c>
      <c r="C45" s="13" t="inlineStr">
        <is>
          <t>M3 x 18 mm, hex 6 mm, black; Wurth Elektronik 971180365</t>
        </is>
      </c>
      <c r="D45" s="17" t="n">
        <v>2</v>
      </c>
      <c r="E45" s="13" t="inlineStr">
        <is>
          <t>Electronics enclosure</t>
        </is>
      </c>
      <c r="F45" s="13" t="inlineStr">
        <is>
          <t>Mouser UK</t>
        </is>
      </c>
      <c r="G45" s="14" t="inlineStr">
        <is>
          <t>Open page</t>
        </is>
      </c>
      <c r="H45" s="14" t="inlineStr">
        <is>
          <t>eBay</t>
        </is>
      </c>
      <c r="I45" s="14" t="inlineStr">
        <is>
          <t>Amazon</t>
        </is>
      </c>
      <c r="J45" s="14" t="inlineStr">
        <is>
          <t>AliExpress</t>
        </is>
      </c>
    </row>
    <row r="46" ht="20" customHeight="1">
      <c r="A46" s="12" t="inlineStr">
        <is>
          <t>4.16</t>
        </is>
      </c>
      <c r="B46" s="13" t="inlineStr">
        <is>
          <t>Standoff, male-female, nylon (Essentra 36M30MF016)</t>
        </is>
      </c>
      <c r="C46" s="13" t="inlineStr">
        <is>
          <t>M3 x 16 mm hex standoff, 6 mm hex, natural nylon 6/6 (Z add-on only)</t>
        </is>
      </c>
      <c r="D46" s="17" t="n">
        <v>1</v>
      </c>
      <c r="E46" s="13" t="inlineStr">
        <is>
          <t>Electronics enclosure, only if you fit the Z-axis add-on</t>
        </is>
      </c>
      <c r="F46" s="13" t="inlineStr">
        <is>
          <t>Mouser UK</t>
        </is>
      </c>
      <c r="G46" s="14" t="inlineStr">
        <is>
          <t>Open page</t>
        </is>
      </c>
      <c r="H46" s="14" t="n"/>
      <c r="I46" s="14" t="n"/>
      <c r="J46" s="14" t="n"/>
    </row>
    <row r="47" ht="20" customHeight="1">
      <c r="A47" s="12" t="inlineStr">
        <is>
          <t>4.17</t>
        </is>
      </c>
      <c r="B47" s="13" t="inlineStr">
        <is>
          <t>DC barrel jack: plug and socket pair</t>
        </is>
      </c>
      <c r="C47" s="13" t="inlineStr">
        <is>
          <t>Plug + female socket (size to confirm); sold as 10 pairs</t>
        </is>
      </c>
      <c r="D47" s="17" t="n">
        <v>1</v>
      </c>
      <c r="E47" s="13" t="inlineStr">
        <is>
          <t>Power connection</t>
        </is>
      </c>
      <c r="F47" s="13" t="inlineStr">
        <is>
          <t>eBay UK (10 pairs)</t>
        </is>
      </c>
      <c r="G47" s="14" t="inlineStr">
        <is>
          <t>Open page</t>
        </is>
      </c>
      <c r="H47" s="14" t="n"/>
      <c r="I47" s="14" t="n"/>
      <c r="J47" s="14" t="n"/>
    </row>
    <row r="48" ht="20" customHeight="1">
      <c r="A48" s="12" t="inlineStr">
        <is>
          <t>4.18</t>
        </is>
      </c>
      <c r="B48" s="13" t="inlineStr">
        <is>
          <t>Mains/power lead wire, 2-core 18 AWG</t>
        </is>
      </c>
      <c r="C48" s="13" t="inlineStr">
        <is>
          <t>18 AWG 2-core, 16 A rated; about 750 mm per machine, sold in 10 m lengths</t>
        </is>
      </c>
      <c r="D48" s="17" t="n">
        <v>0.75</v>
      </c>
      <c r="E48" s="13" t="inlineStr">
        <is>
          <t>Power wiring</t>
        </is>
      </c>
      <c r="F48" s="13" t="inlineStr">
        <is>
          <t>eBay UK (10 m)</t>
        </is>
      </c>
      <c r="G48" s="14" t="inlineStr">
        <is>
          <t>Open page</t>
        </is>
      </c>
      <c r="H48" s="14" t="n"/>
      <c r="I48" s="14" t="n"/>
      <c r="J48" s="14" t="n"/>
    </row>
    <row r="49" ht="20" customHeight="1">
      <c r="A49" s="12" t="inlineStr">
        <is>
          <t>4.19</t>
        </is>
      </c>
      <c r="B49" s="13" t="inlineStr">
        <is>
          <t>Power switch, rocker</t>
        </is>
      </c>
      <c r="C49" s="13" t="inlineStr">
        <is>
          <t>Rocker switch; sold as 5 pcs</t>
        </is>
      </c>
      <c r="D49" s="17" t="n">
        <v>1</v>
      </c>
      <c r="E49" s="13" t="inlineStr">
        <is>
          <t>Power switch mount</t>
        </is>
      </c>
      <c r="F49" s="13" t="inlineStr">
        <is>
          <t>eBay UK (5 pcs)</t>
        </is>
      </c>
      <c r="G49" s="14" t="inlineStr">
        <is>
          <t>Open page</t>
        </is>
      </c>
      <c r="H49" s="14" t="n"/>
      <c r="I49" s="14" t="n"/>
      <c r="J49" s="14" t="n"/>
    </row>
    <row r="50" ht="20" customHeight="1">
      <c r="A50" s="12" t="inlineStr">
        <is>
          <t>4.21</t>
        </is>
      </c>
      <c r="B50" s="13" t="inlineStr">
        <is>
          <t>Waveshare round display (terraDial)</t>
        </is>
      </c>
      <c r="C50" s="13" t="inlineStr">
        <is>
          <t>Optional dial controller module for the terraDial add-on</t>
        </is>
      </c>
      <c r="D50" s="17" t="n">
        <v>0</v>
      </c>
      <c r="E50" s="13" t="inlineStr">
        <is>
          <t>Optional: terraDial</t>
        </is>
      </c>
      <c r="F50" s="13" t="inlineStr">
        <is>
          <t>AliExpress</t>
        </is>
      </c>
      <c r="G50" s="14" t="inlineStr">
        <is>
          <t>Open page</t>
        </is>
      </c>
      <c r="H50" s="14" t="n"/>
      <c r="I50" s="14" t="n"/>
      <c r="J50" s="14" t="n"/>
    </row>
    <row r="51" ht="20" customHeight="1">
      <c r="A51" s="11" t="inlineStr">
        <is>
          <t>5  CABLE MANAGEMENT &amp; MISC</t>
        </is>
      </c>
      <c r="B51" s="11" t="n"/>
      <c r="C51" s="11" t="n"/>
      <c r="D51" s="11" t="n"/>
      <c r="E51" s="11" t="n"/>
      <c r="F51" s="11" t="n"/>
      <c r="G51" s="11" t="n"/>
      <c r="H51" s="11" t="n"/>
      <c r="I51" s="11" t="n"/>
      <c r="J51" s="11" t="n"/>
    </row>
    <row r="52" ht="20" customHeight="1">
      <c r="A52" s="12" t="inlineStr">
        <is>
          <t>5.01</t>
        </is>
      </c>
      <c r="B52" s="13" t="inlineStr">
        <is>
          <t>Cable chain</t>
        </is>
      </c>
      <c r="C52" s="13" t="inlineStr">
        <is>
          <t>7 x 7 mm inner, black nylon, sold in 1 m lengths with 2 end connectors; about 1.4 m needed (qty in metres)</t>
        </is>
      </c>
      <c r="D52" s="12" t="n">
        <v>1.4</v>
      </c>
      <c r="E52" s="13" t="inlineStr">
        <is>
          <t>Y right and carriage</t>
        </is>
      </c>
      <c r="F52" s="13" t="inlineStr">
        <is>
          <t>AliExpress (1 m lengths)</t>
        </is>
      </c>
      <c r="G52" s="14" t="inlineStr">
        <is>
          <t>Open page</t>
        </is>
      </c>
      <c r="H52" s="14" t="inlineStr">
        <is>
          <t>eBay</t>
        </is>
      </c>
      <c r="I52" s="14" t="inlineStr">
        <is>
          <t>Amazon</t>
        </is>
      </c>
      <c r="J52" s="14" t="inlineStr">
        <is>
          <t>AliExpress</t>
        </is>
      </c>
    </row>
    <row r="53">
      <c r="A53" s="12" t="inlineStr">
        <is>
          <t>5.02</t>
        </is>
      </c>
      <c r="B53" s="13" t="inlineStr">
        <is>
          <t>D-Line Micro+ trunking, black</t>
        </is>
      </c>
      <c r="C53" s="13" t="inlineStr">
        <is>
          <t>20 x 10 mm, 2 m length, self-adhesive (Screwfix 960RA); about 1.6 m needed</t>
        </is>
      </c>
      <c r="D53" s="12" t="n">
        <v>1</v>
      </c>
      <c r="E53" s="13" t="inlineStr">
        <is>
          <t>Underside cable routing</t>
        </is>
      </c>
      <c r="F53" s="13" t="inlineStr">
        <is>
          <t>Screwfix</t>
        </is>
      </c>
      <c r="G53" s="14" t="inlineStr">
        <is>
          <t>Open page</t>
        </is>
      </c>
      <c r="H53" s="14" t="n"/>
      <c r="I53" s="14" t="n"/>
      <c r="J53" s="14" t="n"/>
    </row>
    <row r="54">
      <c r="A54" s="12" t="inlineStr">
        <is>
          <t>5.03</t>
        </is>
      </c>
      <c r="B54" s="13" t="inlineStr">
        <is>
          <t>Trunking 90-degree flat corner</t>
        </is>
      </c>
      <c r="C54" s="13" t="inlineStr">
        <is>
          <t>Print your own (D_Line_20x10_Flat_corner.stl, see 10.50), or the D-Line accessories pack (5 pieces, black)</t>
        </is>
      </c>
      <c r="D54" s="12" t="n">
        <v>2</v>
      </c>
      <c r="E54" s="13" t="inlineStr">
        <is>
          <t>Underside cable routing</t>
        </is>
      </c>
      <c r="F54" s="13" t="inlineStr">
        <is>
          <t>Screwfix, or print in-house</t>
        </is>
      </c>
      <c r="G54" s="14" t="inlineStr">
        <is>
          <t>Open page</t>
        </is>
      </c>
      <c r="H54" s="14" t="n"/>
      <c r="I54" s="14" t="n"/>
      <c r="J54" s="14" t="n"/>
    </row>
    <row r="55">
      <c r="A55" s="12" t="inlineStr">
        <is>
          <t>5.04</t>
        </is>
      </c>
      <c r="B55" s="13" t="inlineStr">
        <is>
          <t>Cable ties</t>
        </is>
      </c>
      <c r="C55" s="13" t="inlineStr">
        <is>
          <t>Black nylon, 2.5 mm wide; sold as 100</t>
        </is>
      </c>
      <c r="D55" s="17" t="n">
        <v>6</v>
      </c>
      <c r="E55" s="13" t="inlineStr">
        <is>
          <t>General</t>
        </is>
      </c>
      <c r="F55" s="13" t="inlineStr">
        <is>
          <t>eBay UK (100 pcs)</t>
        </is>
      </c>
      <c r="G55" s="14" t="inlineStr">
        <is>
          <t>Open page</t>
        </is>
      </c>
      <c r="H55" s="14" t="inlineStr">
        <is>
          <t>eBay</t>
        </is>
      </c>
      <c r="I55" s="14" t="inlineStr">
        <is>
          <t>Amazon</t>
        </is>
      </c>
      <c r="J55" s="14" t="inlineStr">
        <is>
          <t>AliExpress</t>
        </is>
      </c>
    </row>
    <row r="56">
      <c r="A56" s="12" t="inlineStr">
        <is>
          <t>5.05</t>
        </is>
      </c>
      <c r="B56" s="13" t="inlineStr">
        <is>
          <t>Hex key set</t>
        </is>
      </c>
      <c r="C56" s="13" t="inlineStr">
        <is>
          <t>1.5 / 2 / 2.5 / 3 / 4 mm</t>
        </is>
      </c>
      <c r="D56" s="17" t="n">
        <v>1</v>
      </c>
      <c r="E56" s="13" t="inlineStr">
        <is>
          <t>Assembly (tool)</t>
        </is>
      </c>
      <c r="F56" s="13" t="n"/>
      <c r="G56" s="12" t="inlineStr">
        <is>
          <t>–</t>
        </is>
      </c>
      <c r="H56" s="14" t="inlineStr">
        <is>
          <t>eBay</t>
        </is>
      </c>
      <c r="I56" s="14" t="inlineStr">
        <is>
          <t>Amazon</t>
        </is>
      </c>
      <c r="J56" s="14" t="inlineStr">
        <is>
          <t>AliExpress</t>
        </is>
      </c>
    </row>
    <row r="57" ht="20" customHeight="1">
      <c r="A57" s="12" t="n"/>
      <c r="B57" s="13" t="n"/>
      <c r="C57" s="13" t="n"/>
      <c r="D57" s="17" t="n"/>
      <c r="E57" s="13" t="n"/>
      <c r="F57" s="13" t="n"/>
      <c r="G57" s="14" t="n"/>
      <c r="H57" s="14" t="n"/>
      <c r="I57" s="14" t="n"/>
      <c r="J57" s="14" t="n"/>
    </row>
    <row r="58" ht="20" customHeight="1">
      <c r="A58" s="11" t="inlineStr">
        <is>
          <t>6  FASTENERS – M2</t>
        </is>
      </c>
      <c r="B58" s="11" t="n"/>
      <c r="C58" s="11" t="n"/>
      <c r="D58" s="11" t="n"/>
      <c r="E58" s="11" t="n"/>
      <c r="F58" s="11" t="n"/>
      <c r="G58" s="11" t="n"/>
      <c r="H58" s="11" t="n"/>
      <c r="I58" s="11" t="n"/>
      <c r="J58" s="11" t="n"/>
    </row>
    <row r="59">
      <c r="A59" s="12" t="inlineStr">
        <is>
          <t>6.02</t>
        </is>
      </c>
      <c r="B59" s="13" t="inlineStr">
        <is>
          <t>Socket head screw</t>
        </is>
      </c>
      <c r="C59" s="13" t="inlineStr">
        <is>
          <t>M2 x 8, self colour, hex socket</t>
        </is>
      </c>
      <c r="D59" s="17" t="n">
        <v>7</v>
      </c>
      <c r="E59" s="13" t="inlineStr">
        <is>
          <t>Stepper tool head: MGN7H rail on the plate</t>
        </is>
      </c>
      <c r="F59" s="13" t="inlineStr">
        <is>
          <t>Allfix</t>
        </is>
      </c>
      <c r="G59" s="14" t="inlineStr">
        <is>
          <t>Open page</t>
        </is>
      </c>
      <c r="H59" s="12" t="n"/>
      <c r="I59" s="12" t="n"/>
      <c r="J59" s="12" t="n"/>
    </row>
    <row r="60">
      <c r="A60" s="12" t="inlineStr">
        <is>
          <t>6.04</t>
        </is>
      </c>
      <c r="B60" s="13" t="inlineStr">
        <is>
          <t>Heat-set insert</t>
        </is>
      </c>
      <c r="C60" s="13" t="inlineStr">
        <is>
          <t>M2 x 3 mm brass</t>
        </is>
      </c>
      <c r="D60" s="17" t="n">
        <v>3</v>
      </c>
      <c r="E60" s="13" t="inlineStr">
        <is>
          <t>Tool head</t>
        </is>
      </c>
      <c r="F60" s="13" t="inlineStr">
        <is>
          <t>eBay UK (100 pack)</t>
        </is>
      </c>
      <c r="G60" s="14" t="inlineStr">
        <is>
          <t>Open page</t>
        </is>
      </c>
      <c r="H60" s="14" t="inlineStr">
        <is>
          <t>eBay</t>
        </is>
      </c>
      <c r="I60" s="14" t="inlineStr">
        <is>
          <t>Amazon</t>
        </is>
      </c>
      <c r="J60" s="14" t="inlineStr">
        <is>
          <t>AliExpress</t>
        </is>
      </c>
    </row>
    <row r="61" ht="20" customHeight="1">
      <c r="A61" s="11" t="inlineStr">
        <is>
          <t>7  FASTENERS – M3</t>
        </is>
      </c>
      <c r="B61" s="11" t="n"/>
      <c r="C61" s="11" t="n"/>
      <c r="D61" s="11" t="n"/>
      <c r="E61" s="11" t="n"/>
      <c r="F61" s="11" t="n"/>
      <c r="G61" s="11" t="n"/>
      <c r="H61" s="11" t="n"/>
      <c r="I61" s="11" t="n"/>
      <c r="J61" s="11" t="n"/>
    </row>
    <row r="62">
      <c r="A62" s="12" t="inlineStr">
        <is>
          <t>7.01</t>
        </is>
      </c>
      <c r="B62" s="13" t="inlineStr">
        <is>
          <t>Countersunk screw</t>
        </is>
      </c>
      <c r="C62" s="13" t="inlineStr">
        <is>
          <t>M3 x 5, self colour, hex socket</t>
        </is>
      </c>
      <c r="D62" s="17" t="n">
        <v>6</v>
      </c>
      <c r="E62" s="13" t="inlineStr">
        <is>
          <t>Y right, carriage, tool head</t>
        </is>
      </c>
      <c r="F62" s="13" t="inlineStr">
        <is>
          <t>Allfix</t>
        </is>
      </c>
      <c r="G62" s="14" t="inlineStr">
        <is>
          <t>Open page</t>
        </is>
      </c>
      <c r="H62" s="12" t="inlineStr">
        <is>
          <t>–</t>
        </is>
      </c>
      <c r="I62" s="12" t="inlineStr">
        <is>
          <t>–</t>
        </is>
      </c>
      <c r="J62" s="12" t="inlineStr">
        <is>
          <t>–</t>
        </is>
      </c>
    </row>
    <row r="63">
      <c r="A63" s="12" t="inlineStr">
        <is>
          <t>7.02</t>
        </is>
      </c>
      <c r="B63" s="13" t="inlineStr">
        <is>
          <t>Countersunk screw</t>
        </is>
      </c>
      <c r="C63" s="13" t="inlineStr">
        <is>
          <t>M3 x 6, self colour, hex socket</t>
        </is>
      </c>
      <c r="D63" s="17" t="n">
        <v>17</v>
      </c>
      <c r="E63" s="13" t="inlineStr">
        <is>
          <t>Y left/right, carriage, tool head, electronics</t>
        </is>
      </c>
      <c r="F63" s="13" t="inlineStr">
        <is>
          <t>Allfix</t>
        </is>
      </c>
      <c r="G63" s="14" t="inlineStr">
        <is>
          <t>Open page</t>
        </is>
      </c>
      <c r="H63" s="12" t="inlineStr">
        <is>
          <t>–</t>
        </is>
      </c>
      <c r="I63" s="12" t="inlineStr">
        <is>
          <t>–</t>
        </is>
      </c>
      <c r="J63" s="12" t="inlineStr">
        <is>
          <t>–</t>
        </is>
      </c>
    </row>
    <row r="64">
      <c r="A64" s="12" t="inlineStr">
        <is>
          <t>7.03</t>
        </is>
      </c>
      <c r="B64" s="13" t="inlineStr">
        <is>
          <t>Countersunk screw</t>
        </is>
      </c>
      <c r="C64" s="13" t="inlineStr">
        <is>
          <t>M3 x 8, self colour, hex socket</t>
        </is>
      </c>
      <c r="D64" s="17" t="n">
        <v>15</v>
      </c>
      <c r="E64" s="13" t="inlineStr">
        <is>
          <t>Y right</t>
        </is>
      </c>
      <c r="F64" s="13" t="inlineStr">
        <is>
          <t>Allfix</t>
        </is>
      </c>
      <c r="G64" s="14" t="inlineStr">
        <is>
          <t>Open page</t>
        </is>
      </c>
      <c r="H64" s="12" t="inlineStr">
        <is>
          <t>–</t>
        </is>
      </c>
      <c r="I64" s="12" t="inlineStr">
        <is>
          <t>–</t>
        </is>
      </c>
      <c r="J64" s="12" t="inlineStr">
        <is>
          <t>–</t>
        </is>
      </c>
    </row>
    <row r="65">
      <c r="A65" s="12" t="inlineStr">
        <is>
          <t>7.05</t>
        </is>
      </c>
      <c r="B65" s="13" t="inlineStr">
        <is>
          <t>Countersunk screw</t>
        </is>
      </c>
      <c r="C65" s="13" t="inlineStr">
        <is>
          <t>M3 x 16, self colour, hex socket</t>
        </is>
      </c>
      <c r="D65" s="17" t="n">
        <v>5</v>
      </c>
      <c r="E65" s="13" t="inlineStr">
        <is>
          <t>To confirm</t>
        </is>
      </c>
      <c r="F65" s="13" t="inlineStr">
        <is>
          <t>Allfix</t>
        </is>
      </c>
      <c r="G65" s="14" t="inlineStr">
        <is>
          <t>Open page</t>
        </is>
      </c>
      <c r="H65" s="12" t="n"/>
      <c r="I65" s="12" t="n"/>
      <c r="J65" s="12" t="n"/>
    </row>
    <row r="66">
      <c r="A66" s="12" t="inlineStr">
        <is>
          <t>7.07</t>
        </is>
      </c>
      <c r="B66" s="13" t="inlineStr">
        <is>
          <t>Countersunk screw</t>
        </is>
      </c>
      <c r="C66" s="13" t="inlineStr">
        <is>
          <t>M3 x 30, self colour, hex socket</t>
        </is>
      </c>
      <c r="D66" s="17" t="n">
        <v>4</v>
      </c>
      <c r="E66" s="13" t="inlineStr">
        <is>
          <t>X/Y motor mount</t>
        </is>
      </c>
      <c r="F66" s="13" t="inlineStr">
        <is>
          <t>Allfix</t>
        </is>
      </c>
      <c r="G66" s="14" t="inlineStr">
        <is>
          <t>Open page</t>
        </is>
      </c>
      <c r="H66" s="12" t="inlineStr">
        <is>
          <t>–</t>
        </is>
      </c>
      <c r="I66" s="12" t="inlineStr">
        <is>
          <t>–</t>
        </is>
      </c>
      <c r="J66" s="12" t="inlineStr">
        <is>
          <t>–</t>
        </is>
      </c>
    </row>
    <row r="67" ht="20" customHeight="1">
      <c r="A67" s="12" t="inlineStr">
        <is>
          <t>7.08</t>
        </is>
      </c>
      <c r="B67" s="13" t="inlineStr">
        <is>
          <t>Button head screw</t>
        </is>
      </c>
      <c r="C67" s="13" t="inlineStr">
        <is>
          <t>M3 x 6, self colour, hex socket</t>
        </is>
      </c>
      <c r="D67" s="12" t="n">
        <v>6</v>
      </c>
      <c r="E67" s="13" t="inlineStr">
        <is>
          <t>Tool head, electronics</t>
        </is>
      </c>
      <c r="F67" s="13" t="inlineStr">
        <is>
          <t>Allfix</t>
        </is>
      </c>
      <c r="G67" s="14" t="inlineStr">
        <is>
          <t>Open page</t>
        </is>
      </c>
      <c r="H67" s="12" t="inlineStr">
        <is>
          <t>–</t>
        </is>
      </c>
      <c r="I67" s="12" t="inlineStr">
        <is>
          <t>–</t>
        </is>
      </c>
      <c r="J67" s="12" t="inlineStr">
        <is>
          <t>–</t>
        </is>
      </c>
    </row>
    <row r="68">
      <c r="A68" s="12" t="inlineStr">
        <is>
          <t>7.09</t>
        </is>
      </c>
      <c r="B68" s="13" t="inlineStr">
        <is>
          <t>Button head screw</t>
        </is>
      </c>
      <c r="C68" s="13" t="inlineStr">
        <is>
          <t>M3 x 8, self colour, hex socket</t>
        </is>
      </c>
      <c r="D68" s="12" t="n">
        <v>1</v>
      </c>
      <c r="E68" s="13" t="inlineStr">
        <is>
          <t>Controller board, only with the Z-axis add-on</t>
        </is>
      </c>
      <c r="F68" s="13" t="inlineStr">
        <is>
          <t>Allfix</t>
        </is>
      </c>
      <c r="G68" s="14" t="inlineStr">
        <is>
          <t>Open page</t>
        </is>
      </c>
      <c r="H68" s="12" t="n"/>
      <c r="I68" s="12" t="n"/>
      <c r="J68" s="12" t="n"/>
    </row>
    <row r="69">
      <c r="A69" s="12" t="inlineStr">
        <is>
          <t>7.10</t>
        </is>
      </c>
      <c r="B69" s="13" t="inlineStr">
        <is>
          <t>Button head screw</t>
        </is>
      </c>
      <c r="C69" s="13" t="inlineStr">
        <is>
          <t>M3 x 16 (approx.), self colour, hex socket; feet are bought without a bolt</t>
        </is>
      </c>
      <c r="D69" s="17" t="n">
        <v>4</v>
      </c>
      <c r="E69" s="13" t="inlineStr">
        <is>
          <t>Frame – feet</t>
        </is>
      </c>
      <c r="F69" s="13" t="inlineStr">
        <is>
          <t>Allfix</t>
        </is>
      </c>
      <c r="G69" s="14" t="inlineStr">
        <is>
          <t>Open page</t>
        </is>
      </c>
      <c r="H69" s="12" t="inlineStr">
        <is>
          <t>–</t>
        </is>
      </c>
      <c r="I69" s="12" t="inlineStr">
        <is>
          <t>–</t>
        </is>
      </c>
      <c r="J69" s="12" t="inlineStr">
        <is>
          <t>–</t>
        </is>
      </c>
    </row>
    <row r="70">
      <c r="A70" s="12" t="inlineStr">
        <is>
          <t>7.12</t>
        </is>
      </c>
      <c r="B70" s="13" t="inlineStr">
        <is>
          <t>Socket head screw</t>
        </is>
      </c>
      <c r="C70" s="13" t="inlineStr">
        <is>
          <t>M3 x 8, self colour, hex socket</t>
        </is>
      </c>
      <c r="D70" s="12" t="n">
        <v>14</v>
      </c>
      <c r="E70" s="13" t="inlineStr">
        <is>
          <t>Frame – rails</t>
        </is>
      </c>
      <c r="F70" s="13" t="inlineStr">
        <is>
          <t>Allfix</t>
        </is>
      </c>
      <c r="G70" s="14" t="inlineStr">
        <is>
          <t>Open page</t>
        </is>
      </c>
      <c r="H70" s="12" t="inlineStr">
        <is>
          <t>–</t>
        </is>
      </c>
      <c r="I70" s="12" t="inlineStr">
        <is>
          <t>–</t>
        </is>
      </c>
      <c r="J70" s="12" t="inlineStr">
        <is>
          <t>–</t>
        </is>
      </c>
    </row>
    <row r="71">
      <c r="A71" s="12" t="inlineStr">
        <is>
          <t>7.13</t>
        </is>
      </c>
      <c r="B71" s="13" t="inlineStr">
        <is>
          <t>Nyloc nut</t>
        </is>
      </c>
      <c r="C71" s="13" t="inlineStr">
        <is>
          <t>M3, A2-304 stainless steel, DIN 985 type T</t>
        </is>
      </c>
      <c r="D71" s="17" t="n">
        <v>2</v>
      </c>
      <c r="E71" s="13" t="inlineStr">
        <is>
          <t>Z tool head (new)</t>
        </is>
      </c>
      <c r="F71" s="13" t="inlineStr">
        <is>
          <t>Allfix</t>
        </is>
      </c>
      <c r="G71" s="14" t="inlineStr">
        <is>
          <t>Open page</t>
        </is>
      </c>
      <c r="H71" s="14" t="n"/>
      <c r="I71" s="14" t="n"/>
      <c r="J71" s="14" t="n"/>
    </row>
    <row r="72">
      <c r="A72" s="12" t="inlineStr">
        <is>
          <t>7.14</t>
        </is>
      </c>
      <c r="B72" s="13" t="inlineStr">
        <is>
          <t>T-slot nut with spring ball, M3 (IR Slot 5 slide block)</t>
        </is>
      </c>
      <c r="C72" s="13" t="inlineStr">
        <is>
          <t>KJN43719, M3, 5 mm slot, 8 x 4.2 mm, zinc-plated steel, stainless spring ball</t>
        </is>
      </c>
      <c r="D72" s="17" t="n">
        <v>17</v>
      </c>
      <c r="E72" s="13" t="inlineStr">
        <is>
          <t>Frame – rails and feet</t>
        </is>
      </c>
      <c r="F72" s="13" t="inlineStr">
        <is>
          <t>KJN Aluminium Profile</t>
        </is>
      </c>
      <c r="G72" s="14" t="inlineStr">
        <is>
          <t>Open page</t>
        </is>
      </c>
      <c r="H72" s="14" t="inlineStr">
        <is>
          <t>eBay</t>
        </is>
      </c>
      <c r="I72" s="14" t="inlineStr">
        <is>
          <t>Amazon</t>
        </is>
      </c>
      <c r="J72" s="14" t="inlineStr">
        <is>
          <t>AliExpress</t>
        </is>
      </c>
    </row>
    <row r="73">
      <c r="A73" s="12" t="inlineStr">
        <is>
          <t>7.15</t>
        </is>
      </c>
      <c r="B73" s="13" t="inlineStr">
        <is>
          <t>Heat-set insert</t>
        </is>
      </c>
      <c r="C73" s="13" t="inlineStr">
        <is>
          <t>M3 x 3 mm brass</t>
        </is>
      </c>
      <c r="D73" s="12" t="n">
        <v>1</v>
      </c>
      <c r="E73" s="13" t="inlineStr">
        <is>
          <t>Belt clamp, rear of the tool head</t>
        </is>
      </c>
      <c r="F73" s="13" t="inlineStr">
        <is>
          <t>The Pi Hut</t>
        </is>
      </c>
      <c r="G73" s="14" t="inlineStr">
        <is>
          <t>Open page</t>
        </is>
      </c>
      <c r="H73" s="14" t="inlineStr">
        <is>
          <t>eBay</t>
        </is>
      </c>
      <c r="I73" s="14" t="inlineStr">
        <is>
          <t>Amazon</t>
        </is>
      </c>
      <c r="J73" s="14" t="inlineStr">
        <is>
          <t>AliExpress</t>
        </is>
      </c>
    </row>
    <row r="74" ht="20" customHeight="1">
      <c r="A74" s="11" t="inlineStr">
        <is>
          <t>8  FASTENERS – M5</t>
        </is>
      </c>
      <c r="B74" s="11" t="n"/>
      <c r="C74" s="11" t="n"/>
      <c r="D74" s="11" t="n"/>
      <c r="E74" s="11" t="n"/>
      <c r="F74" s="11" t="n"/>
      <c r="G74" s="11" t="n"/>
      <c r="H74" s="11" t="n"/>
      <c r="I74" s="11" t="n"/>
      <c r="J74" s="11" t="n"/>
    </row>
    <row r="75">
      <c r="A75" s="12" t="inlineStr">
        <is>
          <t>8.01</t>
        </is>
      </c>
      <c r="B75" s="13" t="inlineStr">
        <is>
          <t>Countersunk screw</t>
        </is>
      </c>
      <c r="C75" s="13" t="inlineStr">
        <is>
          <t>M5 x 8, self colour, hex socket</t>
        </is>
      </c>
      <c r="D75" s="12" t="n">
        <v>33</v>
      </c>
      <c r="E75" s="13" t="inlineStr">
        <is>
          <t>Motors, idlers, Y left/right (18); metal bed (8)</t>
        </is>
      </c>
      <c r="F75" s="13" t="inlineStr">
        <is>
          <t>Allfix</t>
        </is>
      </c>
      <c r="G75" s="14" t="inlineStr">
        <is>
          <t>Open page</t>
        </is>
      </c>
      <c r="H75" s="12" t="inlineStr">
        <is>
          <t>–</t>
        </is>
      </c>
      <c r="I75" s="12" t="inlineStr">
        <is>
          <t>–</t>
        </is>
      </c>
      <c r="J75" s="12" t="inlineStr">
        <is>
          <t>–</t>
        </is>
      </c>
    </row>
    <row r="76">
      <c r="A76" s="12" t="inlineStr">
        <is>
          <t>8.02</t>
        </is>
      </c>
      <c r="B76" s="13" t="inlineStr">
        <is>
          <t>Countersunk screw</t>
        </is>
      </c>
      <c r="C76" s="13" t="inlineStr">
        <is>
          <t>M5 x 20, self colour, hex socket</t>
        </is>
      </c>
      <c r="D76" s="17" t="n">
        <v>6</v>
      </c>
      <c r="E76" s="13" t="inlineStr">
        <is>
          <t>Y left/right – X rail mounting</t>
        </is>
      </c>
      <c r="F76" s="13" t="inlineStr">
        <is>
          <t>Allfix</t>
        </is>
      </c>
      <c r="G76" s="14" t="inlineStr">
        <is>
          <t>Open page</t>
        </is>
      </c>
      <c r="H76" s="12" t="inlineStr">
        <is>
          <t>–</t>
        </is>
      </c>
      <c r="I76" s="12" t="inlineStr">
        <is>
          <t>–</t>
        </is>
      </c>
      <c r="J76" s="12" t="inlineStr">
        <is>
          <t>–</t>
        </is>
      </c>
    </row>
    <row r="77" ht="20" customHeight="1">
      <c r="A77" s="12" t="inlineStr">
        <is>
          <t>8.04</t>
        </is>
      </c>
      <c r="B77" s="13" t="inlineStr">
        <is>
          <t>Button head screw</t>
        </is>
      </c>
      <c r="C77" s="13" t="inlineStr">
        <is>
          <t>M5 x 12, self colour, hex socket</t>
        </is>
      </c>
      <c r="D77" s="12" t="n">
        <v>22</v>
      </c>
      <c r="E77" s="13" t="inlineStr">
        <is>
          <t>Frame – corner cubes (all 22)</t>
        </is>
      </c>
      <c r="F77" s="13" t="inlineStr">
        <is>
          <t>Allfix</t>
        </is>
      </c>
      <c r="G77" s="14" t="inlineStr">
        <is>
          <t>Open page</t>
        </is>
      </c>
      <c r="H77" s="12" t="n"/>
      <c r="I77" s="12" t="n"/>
      <c r="J77" s="12" t="n"/>
    </row>
    <row r="78" ht="20" customHeight="1">
      <c r="A78" s="12" t="inlineStr">
        <is>
          <t>8.05</t>
        </is>
      </c>
      <c r="B78" s="13" t="inlineStr">
        <is>
          <t>Button head screw</t>
        </is>
      </c>
      <c r="C78" s="13" t="inlineStr">
        <is>
          <t>M5 x 8, self colour, hex socket</t>
        </is>
      </c>
      <c r="D78" s="12" t="n">
        <v>6</v>
      </c>
      <c r="E78" s="13" t="inlineStr">
        <is>
          <t>Frame 90-degree corners (4), electronics enclosure (2)</t>
        </is>
      </c>
      <c r="F78" s="13" t="inlineStr">
        <is>
          <t>Allfix</t>
        </is>
      </c>
      <c r="G78" s="14" t="inlineStr">
        <is>
          <t>Open page</t>
        </is>
      </c>
      <c r="H78" s="12" t="inlineStr">
        <is>
          <t>–</t>
        </is>
      </c>
      <c r="I78" s="12" t="inlineStr">
        <is>
          <t>–</t>
        </is>
      </c>
      <c r="J78" s="12" t="inlineStr">
        <is>
          <t>–</t>
        </is>
      </c>
    </row>
    <row r="79" ht="20" customHeight="1">
      <c r="A79" s="12" t="inlineStr">
        <is>
          <t>8.07</t>
        </is>
      </c>
      <c r="B79" s="13" t="inlineStr">
        <is>
          <t>T-slot nut with spring ball, M5 (IR Slot 5 slide block)</t>
        </is>
      </c>
      <c r="C79" s="13" t="inlineStr">
        <is>
          <t>KJN37001, M5, 5 mm slot, 8 x 4.2 mm, zinc-plated steel, stainless spring ball</t>
        </is>
      </c>
      <c r="D79" s="17" t="n">
        <v>43</v>
      </c>
      <c r="E79" s="13" t="inlineStr">
        <is>
          <t>Motors, idlers, Y left/right, frame rails</t>
        </is>
      </c>
      <c r="F79" s="13" t="inlineStr">
        <is>
          <t>KJN Aluminium Profile</t>
        </is>
      </c>
      <c r="G79" s="14" t="inlineStr">
        <is>
          <t>Open page</t>
        </is>
      </c>
      <c r="H79" s="14" t="inlineStr">
        <is>
          <t>eBay</t>
        </is>
      </c>
      <c r="I79" s="14" t="inlineStr">
        <is>
          <t>Amazon</t>
        </is>
      </c>
      <c r="J79" s="14" t="inlineStr">
        <is>
          <t>AliExpress</t>
        </is>
      </c>
    </row>
    <row r="80" ht="20" customHeight="1">
      <c r="A80" s="12" t="inlineStr">
        <is>
          <t>8.08</t>
        </is>
      </c>
      <c r="B80" s="13" t="inlineStr">
        <is>
          <t>Allfix fixings – total for one machine</t>
        </is>
      </c>
      <c r="C80" s="13" t="inlineStr">
        <is>
          <t>All the Allfix screws and nuts above, at exact per-machine quantities</t>
        </is>
      </c>
      <c r="D80" s="17" t="n">
        <v>1</v>
      </c>
      <c r="E80" s="13" t="inlineStr">
        <is>
          <t>Whole machine</t>
        </is>
      </c>
      <c r="F80" s="13" t="inlineStr">
        <is>
          <t>Allfix</t>
        </is>
      </c>
      <c r="G80" s="14" t="inlineStr">
        <is>
          <t>–</t>
        </is>
      </c>
      <c r="H80" s="14" t="n"/>
      <c r="I80" s="14" t="n"/>
      <c r="J80" s="14" t="n"/>
    </row>
    <row r="81" ht="20" customHeight="1">
      <c r="A81" s="11" t="inlineStr">
        <is>
          <t>9  Z-STEPPER PEN-LIFT HEAD</t>
        </is>
      </c>
      <c r="B81" s="11" t="n"/>
      <c r="C81" s="11" t="n"/>
      <c r="D81" s="11" t="n"/>
      <c r="E81" s="11" t="n"/>
      <c r="F81" s="11" t="n"/>
      <c r="G81" s="11" t="n"/>
      <c r="H81" s="11" t="n"/>
      <c r="I81" s="11" t="n"/>
      <c r="J81" s="11" t="n"/>
    </row>
    <row r="82">
      <c r="A82" s="12" t="inlineStr">
        <is>
          <t>9.01</t>
        </is>
      </c>
      <c r="B82" s="13" t="inlineStr">
        <is>
          <t>NEMA 14 stepper motor, 14HS17-0504S</t>
        </is>
      </c>
      <c r="C82" s="13" t="inlineStr">
        <is>
          <t>35 x 35 x 42 mm, 1.8 deg, 0.5 A, 23 N·cm; 5 mm D-cut shaft (24 mm); 300 mm lead, 4 wires</t>
        </is>
      </c>
      <c r="D82" s="17" t="n">
        <v>1</v>
      </c>
      <c r="E82" s="13" t="inlineStr">
        <is>
          <t>Pen lift</t>
        </is>
      </c>
      <c r="F82" s="13" t="inlineStr">
        <is>
          <t>StepperOnline UK</t>
        </is>
      </c>
      <c r="G82" s="14" t="inlineStr">
        <is>
          <t>Open page</t>
        </is>
      </c>
      <c r="H82" s="14" t="inlineStr">
        <is>
          <t>eBay</t>
        </is>
      </c>
      <c r="I82" s="14" t="inlineStr">
        <is>
          <t>Amazon</t>
        </is>
      </c>
      <c r="J82" s="14" t="inlineStr">
        <is>
          <t>AliExpress</t>
        </is>
      </c>
    </row>
    <row r="83">
      <c r="A83" s="12" t="inlineStr">
        <is>
          <t>9.02</t>
        </is>
      </c>
      <c r="B83" s="13" t="inlineStr">
        <is>
          <t>GT2 timing belt, 6 mm (pen lift)</t>
        </is>
      </c>
      <c r="C83" s="13" t="inlineStr">
        <is>
          <t>6 mm wide, about 40 mm, cut from the same reel as the X/Y belts (row 3.01); qty in metres</t>
        </is>
      </c>
      <c r="D83" s="17" t="n">
        <v>0.04</v>
      </c>
      <c r="E83" s="13" t="inlineStr">
        <is>
          <t>Pen lift</t>
        </is>
      </c>
      <c r="F83" s="13" t="inlineStr">
        <is>
          <t>AliExpress (same reel as 3.01)</t>
        </is>
      </c>
      <c r="G83" s="14" t="inlineStr">
        <is>
          <t>Open page</t>
        </is>
      </c>
      <c r="H83" s="14" t="inlineStr">
        <is>
          <t>eBay</t>
        </is>
      </c>
      <c r="I83" s="14" t="inlineStr">
        <is>
          <t>Amazon</t>
        </is>
      </c>
      <c r="J83" s="14" t="inlineStr">
        <is>
          <t>AliExpress</t>
        </is>
      </c>
    </row>
    <row r="84" ht="20" customHeight="1">
      <c r="A84" s="12" t="inlineStr">
        <is>
          <t>9.03</t>
        </is>
      </c>
      <c r="B84" s="13" t="inlineStr">
        <is>
          <t>Z motor lead (through the energy chain)</t>
        </is>
      </c>
      <c r="C84" s="13" t="inlineStr">
        <is>
          <t>4 x single-core Alpha Wire 3049 BK001, 26 AWG tinned copper PVC, black; 2100 mm each</t>
        </is>
      </c>
      <c r="D84" s="12" t="n">
        <v>1</v>
      </c>
      <c r="E84" s="13" t="inlineStr">
        <is>
          <t>Z motor</t>
        </is>
      </c>
      <c r="F84" s="13" t="inlineStr">
        <is>
          <t>Made from the hook-up wire above</t>
        </is>
      </c>
      <c r="G84" s="12" t="inlineStr">
        <is>
          <t>–</t>
        </is>
      </c>
      <c r="H84" s="12" t="inlineStr">
        <is>
          <t>–</t>
        </is>
      </c>
      <c r="I84" s="12" t="inlineStr">
        <is>
          <t>–</t>
        </is>
      </c>
      <c r="J84" s="12" t="inlineStr">
        <is>
          <t>–</t>
        </is>
      </c>
    </row>
    <row r="85">
      <c r="A85" s="12" t="inlineStr">
        <is>
          <t>9.04</t>
        </is>
      </c>
      <c r="B85" s="13" t="inlineStr">
        <is>
          <t>Extension spring</t>
        </is>
      </c>
      <c r="C85" s="13" t="inlineStr">
        <is>
          <t>5.2 mm diameter x 20.6 mm long, 0.3 mm wire; sold as 10</t>
        </is>
      </c>
      <c r="D85" s="12" t="n">
        <v>1</v>
      </c>
      <c r="E85" s="13" t="inlineStr">
        <is>
          <t>Stepper tool head (front of the plate, bottom left corner)</t>
        </is>
      </c>
      <c r="F85" s="13" t="inlineStr">
        <is>
          <t>eBay UK (10 pcs)</t>
        </is>
      </c>
      <c r="G85" s="14" t="inlineStr">
        <is>
          <t>Open page</t>
        </is>
      </c>
      <c r="H85" s="12" t="n"/>
      <c r="I85" s="12" t="n"/>
      <c r="J85" s="12" t="n"/>
    </row>
    <row r="86" ht="20" customHeight="1">
      <c r="A86" s="12" t="inlineStr">
        <is>
          <t>9.06</t>
        </is>
      </c>
      <c r="B86" s="13" t="inlineStr">
        <is>
          <t>Thumb screw, M3 x 12</t>
        </is>
      </c>
      <c r="C86" s="13" t="inlineStr">
        <is>
          <t>Steel thumb screw (knurled head); sold as 10</t>
        </is>
      </c>
      <c r="D86" s="17" t="n">
        <v>1</v>
      </c>
      <c r="E86" s="13" t="inlineStr">
        <is>
          <t>Pen setter gauge</t>
        </is>
      </c>
      <c r="F86" s="13" t="inlineStr">
        <is>
          <t>AliExpress (10 pcs)</t>
        </is>
      </c>
      <c r="G86" s="14" t="inlineStr">
        <is>
          <t>Open page</t>
        </is>
      </c>
      <c r="H86" s="12" t="n"/>
      <c r="I86" s="12" t="n"/>
      <c r="J86" s="12" t="n"/>
    </row>
    <row r="87" ht="20" customHeight="1">
      <c r="A87" s="11" t="inlineStr">
        <is>
          <t>10  PRINTED PARTS (STL – print in-house)</t>
        </is>
      </c>
      <c r="B87" s="11" t="n"/>
      <c r="C87" s="11" t="n"/>
      <c r="D87" s="11" t="n"/>
      <c r="E87" s="11" t="n"/>
      <c r="F87" s="11" t="n"/>
      <c r="G87" s="11" t="n"/>
      <c r="H87" s="11" t="n"/>
      <c r="I87" s="11" t="n"/>
      <c r="J87" s="11" t="n"/>
    </row>
    <row r="88" ht="20" customHeight="1">
      <c r="A88" s="12" t="inlineStr">
        <is>
          <t>10.01</t>
        </is>
      </c>
      <c r="B88" s="13" t="inlineStr">
        <is>
          <t>X idler top (XIT)</t>
        </is>
      </c>
      <c r="C88" s="13" t="inlineStr">
        <is>
          <t>X_Idler_Top.stl</t>
        </is>
      </c>
      <c r="D88" s="12" t="n">
        <v>1</v>
      </c>
      <c r="E88" s="13" t="inlineStr">
        <is>
          <t>X idler</t>
        </is>
      </c>
      <c r="F88" s="13" t="inlineStr">
        <is>
          <t>Print in-house</t>
        </is>
      </c>
      <c r="G88" s="14" t="inlineStr">
        <is>
          <t>Link</t>
        </is>
      </c>
      <c r="H88" s="12" t="inlineStr">
        <is>
          <t>–</t>
        </is>
      </c>
      <c r="I88" s="12" t="inlineStr">
        <is>
          <t>–</t>
        </is>
      </c>
      <c r="J88" s="12" t="inlineStr">
        <is>
          <t>–</t>
        </is>
      </c>
    </row>
    <row r="89">
      <c r="A89" s="12" t="inlineStr">
        <is>
          <t>10.02</t>
        </is>
      </c>
      <c r="B89" s="13" t="inlineStr">
        <is>
          <t>X idler bottom (XIB)</t>
        </is>
      </c>
      <c r="C89" s="13" t="inlineStr">
        <is>
          <t>X_Idler_Bottom.stl</t>
        </is>
      </c>
      <c r="D89" s="12" t="n">
        <v>1</v>
      </c>
      <c r="E89" s="13" t="inlineStr">
        <is>
          <t>X idler</t>
        </is>
      </c>
      <c r="F89" s="13" t="inlineStr">
        <is>
          <t>Print in-house</t>
        </is>
      </c>
      <c r="G89" s="14" t="inlineStr">
        <is>
          <t>Link</t>
        </is>
      </c>
      <c r="H89" s="12" t="inlineStr">
        <is>
          <t>–</t>
        </is>
      </c>
      <c r="I89" s="12" t="inlineStr">
        <is>
          <t>–</t>
        </is>
      </c>
      <c r="J89" s="12" t="inlineStr">
        <is>
          <t>–</t>
        </is>
      </c>
    </row>
    <row r="90">
      <c r="A90" s="12" t="inlineStr">
        <is>
          <t>10.03</t>
        </is>
      </c>
      <c r="B90" s="13" t="inlineStr">
        <is>
          <t>Y idler top (YIT)</t>
        </is>
      </c>
      <c r="C90" s="13" t="inlineStr">
        <is>
          <t>Y_Idler_Top.stl</t>
        </is>
      </c>
      <c r="D90" s="12" t="n">
        <v>1</v>
      </c>
      <c r="E90" s="13" t="inlineStr">
        <is>
          <t>Y idler</t>
        </is>
      </c>
      <c r="F90" s="13" t="inlineStr">
        <is>
          <t>Print in-house</t>
        </is>
      </c>
      <c r="G90" s="14" t="inlineStr">
        <is>
          <t>Link</t>
        </is>
      </c>
      <c r="H90" s="12" t="inlineStr">
        <is>
          <t>–</t>
        </is>
      </c>
      <c r="I90" s="12" t="inlineStr">
        <is>
          <t>–</t>
        </is>
      </c>
      <c r="J90" s="12" t="inlineStr">
        <is>
          <t>–</t>
        </is>
      </c>
    </row>
    <row r="91">
      <c r="A91" s="12" t="inlineStr">
        <is>
          <t>10.04</t>
        </is>
      </c>
      <c r="B91" s="13" t="inlineStr">
        <is>
          <t>Y idler bottom (YIB)</t>
        </is>
      </c>
      <c r="C91" s="13" t="inlineStr">
        <is>
          <t>Y_Idler_Bottom.stl</t>
        </is>
      </c>
      <c r="D91" s="12" t="n">
        <v>1</v>
      </c>
      <c r="E91" s="13" t="inlineStr">
        <is>
          <t>Y idler</t>
        </is>
      </c>
      <c r="F91" s="13" t="inlineStr">
        <is>
          <t>Print in-house</t>
        </is>
      </c>
      <c r="G91" s="14" t="inlineStr">
        <is>
          <t>Link</t>
        </is>
      </c>
      <c r="H91" s="12" t="inlineStr">
        <is>
          <t>–</t>
        </is>
      </c>
      <c r="I91" s="12" t="inlineStr">
        <is>
          <t>–</t>
        </is>
      </c>
      <c r="J91" s="12" t="inlineStr">
        <is>
          <t>–</t>
        </is>
      </c>
    </row>
    <row r="92">
      <c r="A92" s="12" t="inlineStr">
        <is>
          <t>10.05</t>
        </is>
      </c>
      <c r="B92" s="13" t="inlineStr">
        <is>
          <t>X motor top (XMT)</t>
        </is>
      </c>
      <c r="C92" s="13" t="inlineStr">
        <is>
          <t>X_Motor_Top.stl</t>
        </is>
      </c>
      <c r="D92" s="12" t="n">
        <v>1</v>
      </c>
      <c r="E92" s="13" t="inlineStr">
        <is>
          <t>X motor</t>
        </is>
      </c>
      <c r="F92" s="13" t="inlineStr">
        <is>
          <t>Print in-house</t>
        </is>
      </c>
      <c r="G92" s="14" t="inlineStr">
        <is>
          <t>Link</t>
        </is>
      </c>
      <c r="H92" s="12" t="inlineStr">
        <is>
          <t>–</t>
        </is>
      </c>
      <c r="I92" s="12" t="inlineStr">
        <is>
          <t>–</t>
        </is>
      </c>
      <c r="J92" s="12" t="inlineStr">
        <is>
          <t>–</t>
        </is>
      </c>
    </row>
    <row r="93">
      <c r="A93" s="12" t="inlineStr">
        <is>
          <t>10.06</t>
        </is>
      </c>
      <c r="B93" s="13" t="inlineStr">
        <is>
          <t>X motor bottom (XMB)</t>
        </is>
      </c>
      <c r="C93" s="13" t="inlineStr">
        <is>
          <t>X_Motor_Bottom.stl</t>
        </is>
      </c>
      <c r="D93" s="12" t="n">
        <v>1</v>
      </c>
      <c r="E93" s="13" t="inlineStr">
        <is>
          <t>X motor</t>
        </is>
      </c>
      <c r="F93" s="13" t="inlineStr">
        <is>
          <t>Print in-house</t>
        </is>
      </c>
      <c r="G93" s="14" t="inlineStr">
        <is>
          <t>Link</t>
        </is>
      </c>
      <c r="H93" s="12" t="inlineStr">
        <is>
          <t>–</t>
        </is>
      </c>
      <c r="I93" s="12" t="inlineStr">
        <is>
          <t>–</t>
        </is>
      </c>
      <c r="J93" s="12" t="inlineStr">
        <is>
          <t>–</t>
        </is>
      </c>
    </row>
    <row r="94">
      <c r="A94" s="12" t="inlineStr">
        <is>
          <t>10.07</t>
        </is>
      </c>
      <c r="B94" s="13" t="inlineStr">
        <is>
          <t>Y motor top (YMT)</t>
        </is>
      </c>
      <c r="C94" s="13" t="inlineStr">
        <is>
          <t>Y_Motor_Top.stl</t>
        </is>
      </c>
      <c r="D94" s="12" t="n">
        <v>1</v>
      </c>
      <c r="E94" s="13" t="inlineStr">
        <is>
          <t>Y motor</t>
        </is>
      </c>
      <c r="F94" s="13" t="inlineStr">
        <is>
          <t>Print in-house</t>
        </is>
      </c>
      <c r="G94" s="14" t="inlineStr">
        <is>
          <t>Link</t>
        </is>
      </c>
      <c r="H94" s="12" t="inlineStr">
        <is>
          <t>–</t>
        </is>
      </c>
      <c r="I94" s="12" t="inlineStr">
        <is>
          <t>–</t>
        </is>
      </c>
      <c r="J94" s="12" t="inlineStr">
        <is>
          <t>–</t>
        </is>
      </c>
    </row>
    <row r="95">
      <c r="A95" s="12" t="inlineStr">
        <is>
          <t>10.08</t>
        </is>
      </c>
      <c r="B95" s="13" t="inlineStr">
        <is>
          <t>Y motor bottom (YMB)</t>
        </is>
      </c>
      <c r="C95" s="13" t="inlineStr">
        <is>
          <t>Y_Motor_Bottom.stl</t>
        </is>
      </c>
      <c r="D95" s="12" t="n">
        <v>1</v>
      </c>
      <c r="E95" s="13" t="inlineStr">
        <is>
          <t>Y motor</t>
        </is>
      </c>
      <c r="F95" s="13" t="inlineStr">
        <is>
          <t>Print in-house</t>
        </is>
      </c>
      <c r="G95" s="14" t="inlineStr">
        <is>
          <t>Link</t>
        </is>
      </c>
      <c r="H95" s="12" t="inlineStr">
        <is>
          <t>–</t>
        </is>
      </c>
      <c r="I95" s="12" t="inlineStr">
        <is>
          <t>–</t>
        </is>
      </c>
      <c r="J95" s="12" t="inlineStr">
        <is>
          <t>–</t>
        </is>
      </c>
    </row>
    <row r="96">
      <c r="A96" s="12" t="inlineStr">
        <is>
          <t>10.09</t>
        </is>
      </c>
      <c r="B96" s="13" t="inlineStr">
        <is>
          <t>X axis bracket top, left (XYT)</t>
        </is>
      </c>
      <c r="C96" s="13" t="inlineStr">
        <is>
          <t>Xy_Carriage_Top.stl</t>
        </is>
      </c>
      <c r="D96" s="17" t="n">
        <v>1</v>
      </c>
      <c r="E96" s="13" t="inlineStr">
        <is>
          <t>Y left</t>
        </is>
      </c>
      <c r="F96" s="13" t="inlineStr">
        <is>
          <t>Print in-house</t>
        </is>
      </c>
      <c r="G96" s="14" t="inlineStr">
        <is>
          <t>Link</t>
        </is>
      </c>
      <c r="H96" s="12" t="inlineStr">
        <is>
          <t>–</t>
        </is>
      </c>
      <c r="I96" s="12" t="inlineStr">
        <is>
          <t>–</t>
        </is>
      </c>
      <c r="J96" s="12" t="inlineStr">
        <is>
          <t>–</t>
        </is>
      </c>
    </row>
    <row r="97">
      <c r="A97" s="12" t="inlineStr">
        <is>
          <t>10.10</t>
        </is>
      </c>
      <c r="B97" s="13" t="inlineStr">
        <is>
          <t>X axis bracket bottom, left (XYB)</t>
        </is>
      </c>
      <c r="C97" s="13" t="inlineStr">
        <is>
          <t>Xy_Carriage_Bottom.stl</t>
        </is>
      </c>
      <c r="D97" s="17" t="n">
        <v>1</v>
      </c>
      <c r="E97" s="13" t="inlineStr">
        <is>
          <t>Y left</t>
        </is>
      </c>
      <c r="F97" s="13" t="inlineStr">
        <is>
          <t>Print in-house</t>
        </is>
      </c>
      <c r="G97" s="14" t="inlineStr">
        <is>
          <t>Link</t>
        </is>
      </c>
      <c r="H97" s="12" t="inlineStr">
        <is>
          <t>–</t>
        </is>
      </c>
      <c r="I97" s="12" t="inlineStr">
        <is>
          <t>–</t>
        </is>
      </c>
      <c r="J97" s="12" t="inlineStr">
        <is>
          <t>–</t>
        </is>
      </c>
    </row>
    <row r="98">
      <c r="A98" s="12" t="inlineStr">
        <is>
          <t>10.11</t>
        </is>
      </c>
      <c r="B98" s="13" t="inlineStr">
        <is>
          <t>X axis bracket top, right (YXT)</t>
        </is>
      </c>
      <c r="C98" s="13" t="inlineStr">
        <is>
          <t>Xx_Carriage_Top.stl</t>
        </is>
      </c>
      <c r="D98" s="17" t="n">
        <v>1</v>
      </c>
      <c r="E98" s="13" t="inlineStr">
        <is>
          <t>Y right</t>
        </is>
      </c>
      <c r="F98" s="13" t="inlineStr">
        <is>
          <t>Print in-house</t>
        </is>
      </c>
      <c r="G98" s="14" t="inlineStr">
        <is>
          <t>Link</t>
        </is>
      </c>
      <c r="H98" s="12" t="inlineStr">
        <is>
          <t>–</t>
        </is>
      </c>
      <c r="I98" s="12" t="inlineStr">
        <is>
          <t>–</t>
        </is>
      </c>
      <c r="J98" s="12" t="inlineStr">
        <is>
          <t>–</t>
        </is>
      </c>
    </row>
    <row r="99">
      <c r="A99" s="12" t="inlineStr">
        <is>
          <t>10.12</t>
        </is>
      </c>
      <c r="B99" s="13" t="inlineStr">
        <is>
          <t>X axis bracket bottom, right (YXB)</t>
        </is>
      </c>
      <c r="C99" s="13" t="inlineStr">
        <is>
          <t>Xx_Carraiage_Bottom.stl</t>
        </is>
      </c>
      <c r="D99" s="17" t="n">
        <v>1</v>
      </c>
      <c r="E99" s="13" t="inlineStr">
        <is>
          <t>Y right</t>
        </is>
      </c>
      <c r="F99" s="13" t="inlineStr">
        <is>
          <t>Print in-house</t>
        </is>
      </c>
      <c r="G99" s="14" t="inlineStr">
        <is>
          <t>Link</t>
        </is>
      </c>
      <c r="H99" s="12" t="inlineStr">
        <is>
          <t>–</t>
        </is>
      </c>
      <c r="I99" s="12" t="inlineStr">
        <is>
          <t>–</t>
        </is>
      </c>
      <c r="J99" s="12" t="inlineStr">
        <is>
          <t>–</t>
        </is>
      </c>
    </row>
    <row r="100">
      <c r="A100" s="12" t="inlineStr">
        <is>
          <t>10.14</t>
        </is>
      </c>
      <c r="B100" s="13" t="inlineStr">
        <is>
          <t>Carriage (RUM)</t>
        </is>
      </c>
      <c r="C100" s="13" t="inlineStr">
        <is>
          <t>Tool_Carriage.stl</t>
        </is>
      </c>
      <c r="D100" s="17" t="n">
        <v>1</v>
      </c>
      <c r="E100" s="13" t="inlineStr">
        <is>
          <t>Carriage</t>
        </is>
      </c>
      <c r="F100" s="13" t="inlineStr">
        <is>
          <t>Print in-house</t>
        </is>
      </c>
      <c r="G100" s="14" t="inlineStr">
        <is>
          <t>Link</t>
        </is>
      </c>
      <c r="H100" s="12" t="inlineStr">
        <is>
          <t>–</t>
        </is>
      </c>
      <c r="I100" s="12" t="inlineStr">
        <is>
          <t>–</t>
        </is>
      </c>
      <c r="J100" s="12" t="inlineStr">
        <is>
          <t>–</t>
        </is>
      </c>
    </row>
    <row r="101">
      <c r="A101" s="12" t="inlineStr">
        <is>
          <t>10.15</t>
        </is>
      </c>
      <c r="B101" s="13" t="inlineStr">
        <is>
          <t>Belt clamp front (BCF)</t>
        </is>
      </c>
      <c r="C101" s="13" t="inlineStr">
        <is>
          <t>Belt_Clamp_Plate.stl</t>
        </is>
      </c>
      <c r="D101" s="17" t="n">
        <v>1</v>
      </c>
      <c r="E101" s="13" t="inlineStr">
        <is>
          <t>Carriage</t>
        </is>
      </c>
      <c r="F101" s="13" t="inlineStr">
        <is>
          <t>Print in-house</t>
        </is>
      </c>
      <c r="G101" s="14" t="inlineStr">
        <is>
          <t>Link</t>
        </is>
      </c>
      <c r="H101" s="12" t="inlineStr">
        <is>
          <t>–</t>
        </is>
      </c>
      <c r="I101" s="12" t="inlineStr">
        <is>
          <t>–</t>
        </is>
      </c>
      <c r="J101" s="12" t="inlineStr">
        <is>
          <t>–</t>
        </is>
      </c>
    </row>
    <row r="102">
      <c r="A102" s="12" t="inlineStr">
        <is>
          <t>10.16</t>
        </is>
      </c>
      <c r="B102" s="13" t="inlineStr">
        <is>
          <t>Belt clamp back (BCB)</t>
        </is>
      </c>
      <c r="C102" s="13" t="inlineStr">
        <is>
          <t>Belt_Clamp_Teeth.stl</t>
        </is>
      </c>
      <c r="D102" s="17" t="n">
        <v>1</v>
      </c>
      <c r="E102" s="13" t="inlineStr">
        <is>
          <t>Carriage</t>
        </is>
      </c>
      <c r="F102" s="13" t="inlineStr">
        <is>
          <t>Print in-house</t>
        </is>
      </c>
      <c r="G102" s="14" t="inlineStr">
        <is>
          <t>Link</t>
        </is>
      </c>
      <c r="H102" s="12" t="inlineStr">
        <is>
          <t>–</t>
        </is>
      </c>
      <c r="I102" s="12" t="inlineStr">
        <is>
          <t>–</t>
        </is>
      </c>
      <c r="J102" s="12" t="inlineStr">
        <is>
          <t>–</t>
        </is>
      </c>
    </row>
    <row r="103">
      <c r="A103" s="12" t="inlineStr">
        <is>
          <t>10.17</t>
        </is>
      </c>
      <c r="B103" s="13" t="inlineStr">
        <is>
          <t>Tensioner housing (T)</t>
        </is>
      </c>
      <c r="C103" s="13" t="inlineStr">
        <is>
          <t>Tensioner_Housing.stl</t>
        </is>
      </c>
      <c r="D103" s="17" t="n">
        <v>1</v>
      </c>
      <c r="E103" s="13" t="inlineStr">
        <is>
          <t>Carriage</t>
        </is>
      </c>
      <c r="F103" s="13" t="inlineStr">
        <is>
          <t>Print in-house</t>
        </is>
      </c>
      <c r="G103" s="14" t="inlineStr">
        <is>
          <t>Link</t>
        </is>
      </c>
      <c r="H103" s="12" t="inlineStr">
        <is>
          <t>–</t>
        </is>
      </c>
      <c r="I103" s="12" t="inlineStr">
        <is>
          <t>–</t>
        </is>
      </c>
      <c r="J103" s="12" t="inlineStr">
        <is>
          <t>–</t>
        </is>
      </c>
    </row>
    <row r="104">
      <c r="A104" s="12" t="inlineStr">
        <is>
          <t>10.18</t>
        </is>
      </c>
      <c r="B104" s="13" t="inlineStr">
        <is>
          <t>Tensioner bit</t>
        </is>
      </c>
      <c r="C104" s="13" t="inlineStr">
        <is>
          <t>2xTensioner_bit.stl</t>
        </is>
      </c>
      <c r="D104" s="17" t="n">
        <v>2</v>
      </c>
      <c r="E104" s="13" t="inlineStr">
        <is>
          <t>Carriage</t>
        </is>
      </c>
      <c r="F104" s="13" t="inlineStr">
        <is>
          <t>Print in-house</t>
        </is>
      </c>
      <c r="G104" s="14" t="inlineStr">
        <is>
          <t>Link</t>
        </is>
      </c>
      <c r="H104" s="12" t="inlineStr">
        <is>
          <t>–</t>
        </is>
      </c>
      <c r="I104" s="12" t="inlineStr">
        <is>
          <t>–</t>
        </is>
      </c>
      <c r="J104" s="12" t="inlineStr">
        <is>
          <t>–</t>
        </is>
      </c>
    </row>
    <row r="105">
      <c r="A105" s="12" t="inlineStr">
        <is>
          <t>10.20</t>
        </is>
      </c>
      <c r="B105" s="13" t="inlineStr">
        <is>
          <t>Minimal pen holder (MPH)</t>
        </is>
      </c>
      <c r="C105" s="13" t="inlineStr">
        <is>
          <t>Pen_Holder_Front.stl</t>
        </is>
      </c>
      <c r="D105" s="17" t="n">
        <v>1</v>
      </c>
      <c r="E105" s="13" t="inlineStr">
        <is>
          <t>Tool head</t>
        </is>
      </c>
      <c r="F105" s="13" t="inlineStr">
        <is>
          <t>Print in-house</t>
        </is>
      </c>
      <c r="G105" s="14" t="inlineStr">
        <is>
          <t>Link</t>
        </is>
      </c>
      <c r="H105" s="12" t="inlineStr">
        <is>
          <t>–</t>
        </is>
      </c>
      <c r="I105" s="12" t="inlineStr">
        <is>
          <t>–</t>
        </is>
      </c>
      <c r="J105" s="12" t="inlineStr">
        <is>
          <t>–</t>
        </is>
      </c>
    </row>
    <row r="106">
      <c r="A106" s="12" t="inlineStr">
        <is>
          <t>10.21</t>
        </is>
      </c>
      <c r="B106" s="13" t="inlineStr">
        <is>
          <t>Pen clip block</t>
        </is>
      </c>
      <c r="C106" s="13" t="inlineStr">
        <is>
          <t>Pen_Clip_Block.stl</t>
        </is>
      </c>
      <c r="D106" s="17" t="n">
        <v>1</v>
      </c>
      <c r="E106" s="13" t="inlineStr">
        <is>
          <t>Tool head</t>
        </is>
      </c>
      <c r="F106" s="13" t="inlineStr">
        <is>
          <t>Print in-house</t>
        </is>
      </c>
      <c r="G106" s="14" t="inlineStr">
        <is>
          <t>Link</t>
        </is>
      </c>
      <c r="H106" s="12" t="inlineStr">
        <is>
          <t>–</t>
        </is>
      </c>
      <c r="I106" s="12" t="inlineStr">
        <is>
          <t>–</t>
        </is>
      </c>
      <c r="J106" s="12" t="inlineStr">
        <is>
          <t>–</t>
        </is>
      </c>
    </row>
    <row r="107">
      <c r="A107" s="12" t="inlineStr">
        <is>
          <t>10.22</t>
        </is>
      </c>
      <c r="B107" s="13" t="inlineStr">
        <is>
          <t>Pen clip latch</t>
        </is>
      </c>
      <c r="C107" s="13" t="inlineStr">
        <is>
          <t>Pen_Clip_Latch.stl</t>
        </is>
      </c>
      <c r="D107" s="17" t="n">
        <v>1</v>
      </c>
      <c r="E107" s="13" t="inlineStr">
        <is>
          <t>Tool head</t>
        </is>
      </c>
      <c r="F107" s="13" t="inlineStr">
        <is>
          <t>Print in-house</t>
        </is>
      </c>
      <c r="G107" s="14" t="inlineStr">
        <is>
          <t>Link</t>
        </is>
      </c>
      <c r="H107" s="12" t="inlineStr">
        <is>
          <t>–</t>
        </is>
      </c>
      <c r="I107" s="12" t="inlineStr">
        <is>
          <t>–</t>
        </is>
      </c>
      <c r="J107" s="12" t="inlineStr">
        <is>
          <t>–</t>
        </is>
      </c>
    </row>
    <row r="108">
      <c r="A108" s="12" t="inlineStr">
        <is>
          <t>10.23</t>
        </is>
      </c>
      <c r="B108" s="13" t="inlineStr">
        <is>
          <t>Pen clip link</t>
        </is>
      </c>
      <c r="C108" s="13" t="inlineStr">
        <is>
          <t>Pen_Clip_Link.stl</t>
        </is>
      </c>
      <c r="D108" s="17" t="n">
        <v>1</v>
      </c>
      <c r="E108" s="13" t="inlineStr">
        <is>
          <t>Tool head</t>
        </is>
      </c>
      <c r="F108" s="13" t="inlineStr">
        <is>
          <t>Print in-house</t>
        </is>
      </c>
      <c r="G108" s="14" t="inlineStr">
        <is>
          <t>Link</t>
        </is>
      </c>
      <c r="H108" s="12" t="inlineStr">
        <is>
          <t>–</t>
        </is>
      </c>
      <c r="I108" s="12" t="inlineStr">
        <is>
          <t>–</t>
        </is>
      </c>
      <c r="J108" s="12" t="inlineStr">
        <is>
          <t>–</t>
        </is>
      </c>
    </row>
    <row r="109">
      <c r="A109" s="12" t="inlineStr">
        <is>
          <t>10.24</t>
        </is>
      </c>
      <c r="B109" s="13" t="inlineStr">
        <is>
          <t>Electronics enclosure (EE)</t>
        </is>
      </c>
      <c r="C109" s="13" t="inlineStr">
        <is>
          <t>Electronics Enclosure.stl</t>
        </is>
      </c>
      <c r="D109" s="12" t="n">
        <v>1</v>
      </c>
      <c r="E109" s="13" t="inlineStr">
        <is>
          <t>Electronics</t>
        </is>
      </c>
      <c r="F109" s="13" t="inlineStr">
        <is>
          <t>Print in-house</t>
        </is>
      </c>
      <c r="G109" s="14" t="inlineStr">
        <is>
          <t>Link</t>
        </is>
      </c>
      <c r="H109" s="12" t="inlineStr">
        <is>
          <t>–</t>
        </is>
      </c>
      <c r="I109" s="12" t="inlineStr">
        <is>
          <t>–</t>
        </is>
      </c>
      <c r="J109" s="12" t="inlineStr">
        <is>
          <t>–</t>
        </is>
      </c>
    </row>
    <row r="110">
      <c r="A110" s="12" t="inlineStr">
        <is>
          <t>10.25</t>
        </is>
      </c>
      <c r="B110" s="13" t="inlineStr">
        <is>
          <t>Electronics enclosure top plate (EETP)</t>
        </is>
      </c>
      <c r="C110" s="13" t="inlineStr">
        <is>
          <t>No STL found</t>
        </is>
      </c>
      <c r="D110" s="17" t="n">
        <v>1</v>
      </c>
      <c r="E110" s="13" t="inlineStr">
        <is>
          <t>Electronics</t>
        </is>
      </c>
      <c r="F110" s="13" t="inlineStr">
        <is>
          <t>Print in-house</t>
        </is>
      </c>
      <c r="G110" s="12" t="inlineStr">
        <is>
          <t>–</t>
        </is>
      </c>
      <c r="H110" s="12" t="inlineStr">
        <is>
          <t>–</t>
        </is>
      </c>
      <c r="I110" s="12" t="inlineStr">
        <is>
          <t>–</t>
        </is>
      </c>
      <c r="J110" s="12" t="inlineStr">
        <is>
          <t>–</t>
        </is>
      </c>
    </row>
    <row r="111">
      <c r="A111" s="12" t="inlineStr">
        <is>
          <t>10.26</t>
        </is>
      </c>
      <c r="B111" s="13" t="inlineStr">
        <is>
          <t>Power enclosure box</t>
        </is>
      </c>
      <c r="C111" s="13" t="inlineStr">
        <is>
          <t>Power_Enclosure_Box.stl</t>
        </is>
      </c>
      <c r="D111" s="17" t="n">
        <v>1</v>
      </c>
      <c r="E111" s="13" t="inlineStr">
        <is>
          <t>Power</t>
        </is>
      </c>
      <c r="F111" s="13" t="inlineStr">
        <is>
          <t>Print in-house</t>
        </is>
      </c>
      <c r="G111" s="14" t="inlineStr">
        <is>
          <t>Link</t>
        </is>
      </c>
      <c r="H111" s="12" t="inlineStr">
        <is>
          <t>–</t>
        </is>
      </c>
      <c r="I111" s="12" t="inlineStr">
        <is>
          <t>–</t>
        </is>
      </c>
      <c r="J111" s="12" t="inlineStr">
        <is>
          <t>–</t>
        </is>
      </c>
    </row>
    <row r="112">
      <c r="A112" s="12" t="inlineStr">
        <is>
          <t>10.27</t>
        </is>
      </c>
      <c r="B112" s="13" t="inlineStr">
        <is>
          <t>Power enclosure back</t>
        </is>
      </c>
      <c r="C112" s="13" t="inlineStr">
        <is>
          <t>Power_Enclosure_Back.stl</t>
        </is>
      </c>
      <c r="D112" s="17" t="n">
        <v>1</v>
      </c>
      <c r="E112" s="13" t="inlineStr">
        <is>
          <t>Power</t>
        </is>
      </c>
      <c r="F112" s="13" t="inlineStr">
        <is>
          <t>Print in-house</t>
        </is>
      </c>
      <c r="G112" s="14" t="inlineStr">
        <is>
          <t>Link</t>
        </is>
      </c>
      <c r="H112" s="12" t="inlineStr">
        <is>
          <t>–</t>
        </is>
      </c>
      <c r="I112" s="12" t="inlineStr">
        <is>
          <t>–</t>
        </is>
      </c>
      <c r="J112" s="12" t="inlineStr">
        <is>
          <t>–</t>
        </is>
      </c>
    </row>
    <row r="113">
      <c r="A113" s="12" t="inlineStr">
        <is>
          <t>10.28</t>
        </is>
      </c>
      <c r="B113" s="13" t="inlineStr">
        <is>
          <t>X endstop top</t>
        </is>
      </c>
      <c r="C113" s="13" t="inlineStr">
        <is>
          <t>Xx_Endstop_Top .stl</t>
        </is>
      </c>
      <c r="D113" s="17" t="n">
        <v>1</v>
      </c>
      <c r="E113" s="13" t="inlineStr">
        <is>
          <t>X endstop</t>
        </is>
      </c>
      <c r="F113" s="13" t="inlineStr">
        <is>
          <t>Print in-house</t>
        </is>
      </c>
      <c r="G113" s="14" t="inlineStr">
        <is>
          <t>Link</t>
        </is>
      </c>
      <c r="H113" s="12" t="inlineStr">
        <is>
          <t>–</t>
        </is>
      </c>
      <c r="I113" s="12" t="inlineStr">
        <is>
          <t>–</t>
        </is>
      </c>
      <c r="J113" s="12" t="inlineStr">
        <is>
          <t>–</t>
        </is>
      </c>
    </row>
    <row r="114">
      <c r="A114" s="12" t="inlineStr">
        <is>
          <t>10.29</t>
        </is>
      </c>
      <c r="B114" s="13" t="inlineStr">
        <is>
          <t>X endstop bottom</t>
        </is>
      </c>
      <c r="C114" s="13" t="inlineStr">
        <is>
          <t>Xx_Endstop_Bottom.stl</t>
        </is>
      </c>
      <c r="D114" s="17" t="n">
        <v>1</v>
      </c>
      <c r="E114" s="13" t="inlineStr">
        <is>
          <t>X endstop</t>
        </is>
      </c>
      <c r="F114" s="13" t="inlineStr">
        <is>
          <t>Print in-house</t>
        </is>
      </c>
      <c r="G114" s="14" t="inlineStr">
        <is>
          <t>Link</t>
        </is>
      </c>
      <c r="H114" s="12" t="inlineStr">
        <is>
          <t>–</t>
        </is>
      </c>
      <c r="I114" s="12" t="inlineStr">
        <is>
          <t>–</t>
        </is>
      </c>
      <c r="J114" s="12" t="inlineStr">
        <is>
          <t>–</t>
        </is>
      </c>
    </row>
    <row r="115">
      <c r="A115" s="12" t="inlineStr">
        <is>
          <t>10.30</t>
        </is>
      </c>
      <c r="B115" s="13" t="inlineStr">
        <is>
          <t>Y endstop mount</t>
        </is>
      </c>
      <c r="C115" s="13" t="inlineStr">
        <is>
          <t>Y_Endstop_Mount.stl</t>
        </is>
      </c>
      <c r="D115" s="17" t="n">
        <v>1</v>
      </c>
      <c r="E115" s="13" t="inlineStr">
        <is>
          <t>Y endstop</t>
        </is>
      </c>
      <c r="F115" s="13" t="inlineStr">
        <is>
          <t>Print in-house</t>
        </is>
      </c>
      <c r="G115" s="14" t="inlineStr">
        <is>
          <t>Link</t>
        </is>
      </c>
      <c r="H115" s="12" t="inlineStr">
        <is>
          <t>–</t>
        </is>
      </c>
      <c r="I115" s="12" t="inlineStr">
        <is>
          <t>–</t>
        </is>
      </c>
      <c r="J115" s="12" t="inlineStr">
        <is>
          <t>–</t>
        </is>
      </c>
    </row>
    <row r="116">
      <c r="A116" s="12" t="inlineStr">
        <is>
          <t>10.31</t>
        </is>
      </c>
      <c r="B116" s="13" t="inlineStr">
        <is>
          <t>TPU bumper</t>
        </is>
      </c>
      <c r="C116" s="13" t="inlineStr">
        <is>
          <t>8xTPU_Bumper.stl</t>
        </is>
      </c>
      <c r="D116" s="17" t="n">
        <v>8</v>
      </c>
      <c r="E116" s="13" t="inlineStr">
        <is>
          <t>Frame / base</t>
        </is>
      </c>
      <c r="F116" s="13" t="inlineStr">
        <is>
          <t>Print in-house</t>
        </is>
      </c>
      <c r="G116" s="14" t="inlineStr">
        <is>
          <t>Link</t>
        </is>
      </c>
      <c r="H116" s="12" t="inlineStr">
        <is>
          <t>–</t>
        </is>
      </c>
      <c r="I116" s="12" t="inlineStr">
        <is>
          <t>–</t>
        </is>
      </c>
      <c r="J116" s="12" t="inlineStr">
        <is>
          <t>–</t>
        </is>
      </c>
    </row>
    <row r="117">
      <c r="A117" s="12" t="inlineStr">
        <is>
          <t>10.32</t>
        </is>
      </c>
      <c r="B117" s="13" t="inlineStr">
        <is>
          <t>Cable cap for extrusion</t>
        </is>
      </c>
      <c r="C117" s="13" t="inlineStr">
        <is>
          <t>Cable Cap for Extrusion.stl</t>
        </is>
      </c>
      <c r="D117" s="17" t="n">
        <v>1</v>
      </c>
      <c r="E117" s="13" t="inlineStr">
        <is>
          <t>Frame</t>
        </is>
      </c>
      <c r="F117" s="13" t="inlineStr">
        <is>
          <t>Print in-house</t>
        </is>
      </c>
      <c r="G117" s="14" t="inlineStr">
        <is>
          <t>Link</t>
        </is>
      </c>
      <c r="H117" s="12" t="inlineStr">
        <is>
          <t>–</t>
        </is>
      </c>
      <c r="I117" s="12" t="inlineStr">
        <is>
          <t>–</t>
        </is>
      </c>
      <c r="J117" s="12" t="inlineStr">
        <is>
          <t>–</t>
        </is>
      </c>
    </row>
    <row r="118">
      <c r="A118" s="12" t="inlineStr">
        <is>
          <t>10.33</t>
        </is>
      </c>
      <c r="B118" s="13" t="inlineStr">
        <is>
          <t>Clip mount</t>
        </is>
      </c>
      <c r="C118" s="13" t="inlineStr">
        <is>
          <t>skinnyClipMount.stl</t>
        </is>
      </c>
      <c r="D118" s="17" t="n">
        <v>1</v>
      </c>
      <c r="E118" s="13" t="inlineStr">
        <is>
          <t>Unknown</t>
        </is>
      </c>
      <c r="F118" s="13" t="inlineStr">
        <is>
          <t>Print in-house</t>
        </is>
      </c>
      <c r="G118" s="14" t="inlineStr">
        <is>
          <t>Link</t>
        </is>
      </c>
      <c r="H118" s="12" t="inlineStr">
        <is>
          <t>–</t>
        </is>
      </c>
      <c r="I118" s="12" t="inlineStr">
        <is>
          <t>–</t>
        </is>
      </c>
      <c r="J118" s="12" t="inlineStr">
        <is>
          <t>–</t>
        </is>
      </c>
    </row>
    <row r="119">
      <c r="A119" s="12" t="inlineStr">
        <is>
          <t>10.34</t>
        </is>
      </c>
      <c r="B119" s="13" t="inlineStr">
        <is>
          <t>Stepper tool carriage</t>
        </is>
      </c>
      <c r="C119" s="13" t="inlineStr">
        <is>
          <t>stepper_tool_carriage.stl</t>
        </is>
      </c>
      <c r="D119" s="17" t="n">
        <v>1</v>
      </c>
      <c r="E119" s="13" t="inlineStr">
        <is>
          <t>Tool head (stepper)</t>
        </is>
      </c>
      <c r="F119" s="13" t="inlineStr">
        <is>
          <t>Print in-house</t>
        </is>
      </c>
      <c r="G119" s="14" t="inlineStr">
        <is>
          <t>Link</t>
        </is>
      </c>
      <c r="H119" s="12" t="inlineStr">
        <is>
          <t>–</t>
        </is>
      </c>
      <c r="I119" s="12" t="inlineStr">
        <is>
          <t>–</t>
        </is>
      </c>
      <c r="J119" s="12" t="inlineStr">
        <is>
          <t>–</t>
        </is>
      </c>
    </row>
    <row r="120">
      <c r="A120" s="12" t="inlineStr">
        <is>
          <t>10.35</t>
        </is>
      </c>
      <c r="B120" s="13" t="inlineStr">
        <is>
          <t>Stepper pen mount</t>
        </is>
      </c>
      <c r="C120" s="13" t="inlineStr">
        <is>
          <t>stepper_pen_mount.stl</t>
        </is>
      </c>
      <c r="D120" s="17" t="n">
        <v>1</v>
      </c>
      <c r="E120" s="13" t="inlineStr">
        <is>
          <t>Tool head (stepper)</t>
        </is>
      </c>
      <c r="F120" s="13" t="inlineStr">
        <is>
          <t>Print in-house</t>
        </is>
      </c>
      <c r="G120" s="14" t="inlineStr">
        <is>
          <t>Link</t>
        </is>
      </c>
      <c r="H120" s="12" t="inlineStr">
        <is>
          <t>–</t>
        </is>
      </c>
      <c r="I120" s="12" t="inlineStr">
        <is>
          <t>–</t>
        </is>
      </c>
      <c r="J120" s="12" t="inlineStr">
        <is>
          <t>–</t>
        </is>
      </c>
    </row>
    <row r="121">
      <c r="A121" s="12" t="inlineStr">
        <is>
          <t>10.36</t>
        </is>
      </c>
      <c r="B121" s="13" t="inlineStr">
        <is>
          <t>Stepper pen mount clamp</t>
        </is>
      </c>
      <c r="C121" s="13" t="inlineStr">
        <is>
          <t>stepper_pen_mount_clamp.stl</t>
        </is>
      </c>
      <c r="D121" s="17" t="n">
        <v>1</v>
      </c>
      <c r="E121" s="13" t="inlineStr">
        <is>
          <t>Tool head (stepper)</t>
        </is>
      </c>
      <c r="F121" s="13" t="inlineStr">
        <is>
          <t>Print in-house</t>
        </is>
      </c>
      <c r="G121" s="14" t="inlineStr">
        <is>
          <t>Link</t>
        </is>
      </c>
      <c r="H121" s="12" t="inlineStr">
        <is>
          <t>–</t>
        </is>
      </c>
      <c r="I121" s="12" t="inlineStr">
        <is>
          <t>–</t>
        </is>
      </c>
      <c r="J121" s="12" t="inlineStr">
        <is>
          <t>–</t>
        </is>
      </c>
    </row>
    <row r="122">
      <c r="A122" s="12" t="inlineStr">
        <is>
          <t>10.37</t>
        </is>
      </c>
      <c r="B122" s="13" t="inlineStr">
        <is>
          <t>Stepper belt pulley</t>
        </is>
      </c>
      <c r="C122" s="13" t="inlineStr">
        <is>
          <t>stepper belt pulley.stl</t>
        </is>
      </c>
      <c r="D122" s="17" t="n">
        <v>1</v>
      </c>
      <c r="E122" s="13" t="inlineStr">
        <is>
          <t>Tool head (stepper)</t>
        </is>
      </c>
      <c r="F122" s="13" t="inlineStr">
        <is>
          <t>Print in-house</t>
        </is>
      </c>
      <c r="G122" s="14" t="inlineStr">
        <is>
          <t>Link</t>
        </is>
      </c>
      <c r="H122" s="12" t="inlineStr">
        <is>
          <t>–</t>
        </is>
      </c>
      <c r="I122" s="12" t="inlineStr">
        <is>
          <t>–</t>
        </is>
      </c>
      <c r="J122" s="12" t="inlineStr">
        <is>
          <t>–</t>
        </is>
      </c>
    </row>
    <row r="123">
      <c r="A123" s="12" t="inlineStr">
        <is>
          <t>10.38</t>
        </is>
      </c>
      <c r="B123" s="13" t="inlineStr">
        <is>
          <t>NEMA 14 mount to carriage</t>
        </is>
      </c>
      <c r="C123" s="13" t="inlineStr">
        <is>
          <t>Nema14mount2carriage.stl</t>
        </is>
      </c>
      <c r="D123" s="17" t="n">
        <v>1</v>
      </c>
      <c r="E123" s="13" t="inlineStr">
        <is>
          <t>Tool head (stepper)</t>
        </is>
      </c>
      <c r="F123" s="13" t="inlineStr">
        <is>
          <t>Print in-house</t>
        </is>
      </c>
      <c r="G123" s="14" t="inlineStr">
        <is>
          <t>Link</t>
        </is>
      </c>
      <c r="H123" s="12" t="inlineStr">
        <is>
          <t>–</t>
        </is>
      </c>
      <c r="I123" s="12" t="inlineStr">
        <is>
          <t>–</t>
        </is>
      </c>
      <c r="J123" s="12" t="inlineStr">
        <is>
          <t>–</t>
        </is>
      </c>
    </row>
    <row r="124">
      <c r="A124" s="12" t="inlineStr">
        <is>
          <t>10.39</t>
        </is>
      </c>
      <c r="B124" s="13" t="inlineStr">
        <is>
          <t>TPU pen bung – 10mm Tapered</t>
        </is>
      </c>
      <c r="C124" s="13" t="inlineStr">
        <is>
          <t>TPU Bungs/10mm Tapered Bung.stl</t>
        </is>
      </c>
      <c r="D124" s="17" t="n">
        <v>1</v>
      </c>
      <c r="E124" s="13" t="inlineStr">
        <is>
          <t>Pen holder insert</t>
        </is>
      </c>
      <c r="F124" s="13" t="inlineStr">
        <is>
          <t>Print in-house</t>
        </is>
      </c>
      <c r="G124" s="14" t="inlineStr">
        <is>
          <t>Link</t>
        </is>
      </c>
      <c r="H124" s="12" t="inlineStr">
        <is>
          <t>–</t>
        </is>
      </c>
      <c r="I124" s="12" t="inlineStr">
        <is>
          <t>–</t>
        </is>
      </c>
      <c r="J124" s="12" t="inlineStr">
        <is>
          <t>–</t>
        </is>
      </c>
    </row>
    <row r="125">
      <c r="A125" s="12" t="inlineStr">
        <is>
          <t>10.40</t>
        </is>
      </c>
      <c r="B125" s="13" t="inlineStr">
        <is>
          <t>TPU pen bung – 11mm Tapered</t>
        </is>
      </c>
      <c r="C125" s="13" t="inlineStr">
        <is>
          <t>TPU Bungs/11mm Tapered Bung.stl</t>
        </is>
      </c>
      <c r="D125" s="17" t="n">
        <v>1</v>
      </c>
      <c r="E125" s="13" t="inlineStr">
        <is>
          <t>Pen holder insert</t>
        </is>
      </c>
      <c r="F125" s="13" t="inlineStr">
        <is>
          <t>Print in-house</t>
        </is>
      </c>
      <c r="G125" s="14" t="inlineStr">
        <is>
          <t>Link</t>
        </is>
      </c>
      <c r="H125" s="12" t="inlineStr">
        <is>
          <t>–</t>
        </is>
      </c>
      <c r="I125" s="12" t="inlineStr">
        <is>
          <t>–</t>
        </is>
      </c>
      <c r="J125" s="12" t="inlineStr">
        <is>
          <t>–</t>
        </is>
      </c>
    </row>
    <row r="126">
      <c r="A126" s="12" t="inlineStr">
        <is>
          <t>10.41</t>
        </is>
      </c>
      <c r="B126" s="13" t="inlineStr">
        <is>
          <t>TPU pen bung – 12mm Aperture</t>
        </is>
      </c>
      <c r="C126" s="13" t="inlineStr">
        <is>
          <t>TPU Bungs/12mm Aperture Bung.stl</t>
        </is>
      </c>
      <c r="D126" s="17" t="n">
        <v>1</v>
      </c>
      <c r="E126" s="13" t="inlineStr">
        <is>
          <t>Pen holder insert</t>
        </is>
      </c>
      <c r="F126" s="13" t="inlineStr">
        <is>
          <t>Print in-house</t>
        </is>
      </c>
      <c r="G126" s="14" t="inlineStr">
        <is>
          <t>Link</t>
        </is>
      </c>
      <c r="H126" s="12" t="inlineStr">
        <is>
          <t>–</t>
        </is>
      </c>
      <c r="I126" s="12" t="inlineStr">
        <is>
          <t>–</t>
        </is>
      </c>
      <c r="J126" s="12" t="inlineStr">
        <is>
          <t>–</t>
        </is>
      </c>
    </row>
    <row r="127">
      <c r="A127" s="12" t="inlineStr">
        <is>
          <t>10.42</t>
        </is>
      </c>
      <c r="B127" s="13" t="inlineStr">
        <is>
          <t>TPU pen bung – 15mm Aperture</t>
        </is>
      </c>
      <c r="C127" s="13" t="inlineStr">
        <is>
          <t>TPU Bungs/15mm Aperture Bung.stl</t>
        </is>
      </c>
      <c r="D127" s="17" t="n">
        <v>1</v>
      </c>
      <c r="E127" s="13" t="inlineStr">
        <is>
          <t>Pen holder insert</t>
        </is>
      </c>
      <c r="F127" s="13" t="inlineStr">
        <is>
          <t>Print in-house</t>
        </is>
      </c>
      <c r="G127" s="14" t="inlineStr">
        <is>
          <t>Link</t>
        </is>
      </c>
      <c r="H127" s="12" t="inlineStr">
        <is>
          <t>–</t>
        </is>
      </c>
      <c r="I127" s="12" t="inlineStr">
        <is>
          <t>–</t>
        </is>
      </c>
      <c r="J127" s="12" t="inlineStr">
        <is>
          <t>–</t>
        </is>
      </c>
    </row>
    <row r="128">
      <c r="A128" s="12" t="inlineStr">
        <is>
          <t>10.43</t>
        </is>
      </c>
      <c r="B128" s="13" t="inlineStr">
        <is>
          <t>TPU pen bung – 16_3mm Tapered</t>
        </is>
      </c>
      <c r="C128" s="13" t="inlineStr">
        <is>
          <t>TPU Bungs/16_3mm Tapered Bung.stl</t>
        </is>
      </c>
      <c r="D128" s="17" t="n">
        <v>1</v>
      </c>
      <c r="E128" s="13" t="inlineStr">
        <is>
          <t>Pen holder insert</t>
        </is>
      </c>
      <c r="F128" s="13" t="inlineStr">
        <is>
          <t>Print in-house</t>
        </is>
      </c>
      <c r="G128" s="14" t="inlineStr">
        <is>
          <t>Link</t>
        </is>
      </c>
      <c r="H128" s="12" t="inlineStr">
        <is>
          <t>–</t>
        </is>
      </c>
      <c r="I128" s="12" t="inlineStr">
        <is>
          <t>–</t>
        </is>
      </c>
      <c r="J128" s="12" t="inlineStr">
        <is>
          <t>–</t>
        </is>
      </c>
    </row>
    <row r="129">
      <c r="A129" s="12" t="inlineStr">
        <is>
          <t>10.44</t>
        </is>
      </c>
      <c r="B129" s="13" t="inlineStr">
        <is>
          <t>TPU pen bung – 4mm Aperture</t>
        </is>
      </c>
      <c r="C129" s="13" t="inlineStr">
        <is>
          <t>TPU Bungs/4mm Aperture Bung.stl</t>
        </is>
      </c>
      <c r="D129" s="17" t="n">
        <v>1</v>
      </c>
      <c r="E129" s="13" t="inlineStr">
        <is>
          <t>Pen holder insert</t>
        </is>
      </c>
      <c r="F129" s="13" t="inlineStr">
        <is>
          <t>Print in-house</t>
        </is>
      </c>
      <c r="G129" s="14" t="inlineStr">
        <is>
          <t>Link</t>
        </is>
      </c>
      <c r="H129" s="12" t="inlineStr">
        <is>
          <t>–</t>
        </is>
      </c>
      <c r="I129" s="12" t="inlineStr">
        <is>
          <t>–</t>
        </is>
      </c>
      <c r="J129" s="12" t="inlineStr">
        <is>
          <t>–</t>
        </is>
      </c>
    </row>
    <row r="130">
      <c r="A130" s="12" t="inlineStr">
        <is>
          <t>10.45</t>
        </is>
      </c>
      <c r="B130" s="13" t="inlineStr">
        <is>
          <t>TPU pen bung – 6mm Aperture</t>
        </is>
      </c>
      <c r="C130" s="13" t="inlineStr">
        <is>
          <t>TPU Bungs/6mm Aperture Bung.stl</t>
        </is>
      </c>
      <c r="D130" s="17" t="n">
        <v>1</v>
      </c>
      <c r="E130" s="13" t="inlineStr">
        <is>
          <t>Pen holder insert</t>
        </is>
      </c>
      <c r="F130" s="13" t="inlineStr">
        <is>
          <t>Print in-house</t>
        </is>
      </c>
      <c r="G130" s="14" t="inlineStr">
        <is>
          <t>Link</t>
        </is>
      </c>
      <c r="H130" s="12" t="inlineStr">
        <is>
          <t>–</t>
        </is>
      </c>
      <c r="I130" s="12" t="inlineStr">
        <is>
          <t>–</t>
        </is>
      </c>
      <c r="J130" s="12" t="inlineStr">
        <is>
          <t>–</t>
        </is>
      </c>
    </row>
    <row r="131">
      <c r="A131" s="12" t="inlineStr">
        <is>
          <t>10.46</t>
        </is>
      </c>
      <c r="B131" s="13" t="inlineStr">
        <is>
          <t>TPU pen bung – 8mm Tapered</t>
        </is>
      </c>
      <c r="C131" s="13" t="inlineStr">
        <is>
          <t>TPU Bungs/8mm Tapered Bung.stl</t>
        </is>
      </c>
      <c r="D131" s="17" t="n">
        <v>1</v>
      </c>
      <c r="E131" s="13" t="inlineStr">
        <is>
          <t>Pen holder insert</t>
        </is>
      </c>
      <c r="F131" s="13" t="inlineStr">
        <is>
          <t>Print in-house</t>
        </is>
      </c>
      <c r="G131" s="14" t="inlineStr">
        <is>
          <t>Link</t>
        </is>
      </c>
      <c r="H131" s="12" t="inlineStr">
        <is>
          <t>–</t>
        </is>
      </c>
      <c r="I131" s="12" t="inlineStr">
        <is>
          <t>–</t>
        </is>
      </c>
      <c r="J131" s="12" t="inlineStr">
        <is>
          <t>–</t>
        </is>
      </c>
    </row>
    <row r="132">
      <c r="A132" s="12" t="inlineStr">
        <is>
          <t>10.47</t>
        </is>
      </c>
      <c r="B132" s="13" t="inlineStr">
        <is>
          <t>TPU pen bung – 9mm Aperture</t>
        </is>
      </c>
      <c r="C132" s="13" t="inlineStr">
        <is>
          <t>TPU Bungs/9mm Aperture Bung.stl</t>
        </is>
      </c>
      <c r="D132" s="17" t="n">
        <v>1</v>
      </c>
      <c r="E132" s="13" t="inlineStr">
        <is>
          <t>Pen holder insert</t>
        </is>
      </c>
      <c r="F132" s="13" t="inlineStr">
        <is>
          <t>Print in-house</t>
        </is>
      </c>
      <c r="G132" s="14" t="inlineStr">
        <is>
          <t>Link</t>
        </is>
      </c>
      <c r="H132" s="12" t="inlineStr">
        <is>
          <t>–</t>
        </is>
      </c>
      <c r="I132" s="12" t="inlineStr">
        <is>
          <t>–</t>
        </is>
      </c>
      <c r="J132" s="12" t="inlineStr">
        <is>
          <t>–</t>
        </is>
      </c>
    </row>
    <row r="133">
      <c r="A133" s="12" t="inlineStr">
        <is>
          <t>10.48</t>
        </is>
      </c>
      <c r="B133" s="13" t="inlineStr">
        <is>
          <t>TPU pen bung – 9mm Tapered</t>
        </is>
      </c>
      <c r="C133" s="13" t="inlineStr">
        <is>
          <t>TPU Bungs/9mm Tapered Bung.stl</t>
        </is>
      </c>
      <c r="D133" s="17" t="n">
        <v>1</v>
      </c>
      <c r="E133" s="13" t="inlineStr">
        <is>
          <t>Pen holder insert</t>
        </is>
      </c>
      <c r="F133" s="13" t="inlineStr">
        <is>
          <t>Print in-house</t>
        </is>
      </c>
      <c r="G133" s="14" t="inlineStr">
        <is>
          <t>Link</t>
        </is>
      </c>
      <c r="H133" s="12" t="inlineStr">
        <is>
          <t>–</t>
        </is>
      </c>
      <c r="I133" s="12" t="inlineStr">
        <is>
          <t>–</t>
        </is>
      </c>
      <c r="J133" s="12" t="inlineStr">
        <is>
          <t>–</t>
        </is>
      </c>
    </row>
    <row r="134">
      <c r="A134" s="12" t="inlineStr">
        <is>
          <t>10.49</t>
        </is>
      </c>
      <c r="B134" s="13" t="inlineStr">
        <is>
          <t>TPU pen holder insert (parametric)</t>
        </is>
      </c>
      <c r="C134" s="13" t="inlineStr">
        <is>
          <t>Stepper_Z_Axis_Experimental/Pen Holder Insert.FCStd</t>
        </is>
      </c>
      <c r="D134" s="17" t="n">
        <v>1</v>
      </c>
      <c r="E134" s="13" t="inlineStr">
        <is>
          <t>Pen holder insert</t>
        </is>
      </c>
      <c r="F134" s="13" t="inlineStr">
        <is>
          <t>Print in-house</t>
        </is>
      </c>
      <c r="G134" s="14" t="inlineStr">
        <is>
          <t>Link</t>
        </is>
      </c>
      <c r="H134" s="12" t="inlineStr">
        <is>
          <t>–</t>
        </is>
      </c>
      <c r="I134" s="12" t="inlineStr">
        <is>
          <t>–</t>
        </is>
      </c>
      <c r="J134" s="12" t="inlineStr">
        <is>
          <t>–</t>
        </is>
      </c>
    </row>
    <row r="135">
      <c r="A135" s="12" t="inlineStr">
        <is>
          <t>10.50</t>
        </is>
      </c>
      <c r="B135" s="13" t="inlineStr">
        <is>
          <t>D-Line 20 x 10 flat corner (trunking)</t>
        </is>
      </c>
      <c r="C135" s="13" t="inlineStr">
        <is>
          <t>D_Line_20x10_Flat_corner.stl</t>
        </is>
      </c>
      <c r="D135" s="17" t="n">
        <v>2</v>
      </c>
      <c r="E135" s="13" t="inlineStr">
        <is>
          <t>Underside cable trunking</t>
        </is>
      </c>
      <c r="F135" s="13" t="inlineStr">
        <is>
          <t>Print in-house</t>
        </is>
      </c>
      <c r="G135" s="14" t="inlineStr">
        <is>
          <t>Link</t>
        </is>
      </c>
      <c r="H135" s="12" t="n"/>
      <c r="I135" s="12" t="n"/>
      <c r="J135" s="12" t="n"/>
    </row>
    <row r="136">
      <c r="A136" s="12" t="inlineStr">
        <is>
          <t>10.51</t>
        </is>
      </c>
      <c r="B136" s="13" t="inlineStr">
        <is>
          <t>Chain support (energy chain anti-sag clip)</t>
        </is>
      </c>
      <c r="C136" s="13" t="inlineStr">
        <is>
          <t>CHAIN_SUPPORT.stl</t>
        </is>
      </c>
      <c r="D136" s="17" t="n">
        <v>4</v>
      </c>
      <c r="E136" s="13" t="inlineStr">
        <is>
          <t>Gantry underside (energy chain); also terapixel light clips (work in progress)</t>
        </is>
      </c>
      <c r="F136" s="13" t="inlineStr">
        <is>
          <t>Print in-house</t>
        </is>
      </c>
      <c r="G136" s="14" t="inlineStr">
        <is>
          <t>Link</t>
        </is>
      </c>
      <c r="H136" s="12" t="n"/>
      <c r="I136" s="12" t="n"/>
      <c r="J136" s="12" t="n"/>
    </row>
    <row r="137">
      <c r="A137" s="12" t="inlineStr">
        <is>
          <t>10.52</t>
        </is>
      </c>
      <c r="B137" s="13" t="inlineStr">
        <is>
          <t>Printed parts – total cost for one machine</t>
        </is>
      </c>
      <c r="C137" s="13" t="inlineStr">
        <is>
          <t>All the printed parts above, as one figure (filament and printing)</t>
        </is>
      </c>
      <c r="D137" s="17" t="n">
        <v>1</v>
      </c>
      <c r="E137" s="13" t="inlineStr">
        <is>
          <t>Whole machine</t>
        </is>
      </c>
      <c r="F137" s="13" t="inlineStr">
        <is>
          <t>Print in-house</t>
        </is>
      </c>
      <c r="G137" s="14" t="inlineStr">
        <is>
          <t>–</t>
        </is>
      </c>
      <c r="H137" s="12" t="n"/>
      <c r="I137" s="12" t="n"/>
      <c r="J137" s="12" t="n"/>
    </row>
    <row r="138" ht="20" customHeight="1">
      <c r="A138" s="11" t="inlineStr">
        <is>
          <t>11  TOOLING (one-off purchases, not in the per-machine total)</t>
        </is>
      </c>
      <c r="B138" s="11" t="n"/>
      <c r="C138" s="11" t="n"/>
      <c r="D138" s="11" t="n"/>
      <c r="E138" s="11" t="n"/>
      <c r="F138" s="11" t="n"/>
      <c r="G138" s="11" t="n"/>
      <c r="H138" s="11" t="n"/>
      <c r="I138" s="11" t="n"/>
      <c r="J138" s="11" t="n"/>
    </row>
    <row r="139">
      <c r="A139" s="12" t="inlineStr">
        <is>
          <t>11.01</t>
        </is>
      </c>
      <c r="B139" s="13" t="inlineStr">
        <is>
          <t>Heat-set insert tip for a soldering iron</t>
        </is>
      </c>
      <c r="C139" s="13" t="inlineStr">
        <is>
          <t>Virtjoule, #4-40 / M3 inserts, Hakko-type tip (Pi Hut ADA4239)</t>
        </is>
      </c>
      <c r="D139" s="17" t="n">
        <v>1</v>
      </c>
      <c r="E139" s="13" t="inlineStr">
        <is>
          <t>Printed parts: fitting the M3 heat-set inserts</t>
        </is>
      </c>
      <c r="F139" s="13" t="inlineStr">
        <is>
          <t>The Pi Hut</t>
        </is>
      </c>
      <c r="G139" s="14" t="inlineStr">
        <is>
          <t>Open page</t>
        </is>
      </c>
      <c r="H139" s="12" t="n"/>
      <c r="I139" s="12" t="n"/>
      <c r="J139" s="12" t="n"/>
    </row>
    <row r="140">
      <c r="A140" s="12" t="inlineStr">
        <is>
          <t>11.02</t>
        </is>
      </c>
      <c r="B140" s="13" t="inlineStr">
        <is>
          <t>Soldering iron that takes Hakko-type tips</t>
        </is>
      </c>
      <c r="C140" s="13" t="inlineStr">
        <is>
          <t>To fit the insert tip above; also useful for the JST work</t>
        </is>
      </c>
      <c r="D140" s="17" t="n">
        <v>1</v>
      </c>
      <c r="E140" s="13" t="inlineStr">
        <is>
          <t>Fitting inserts, wiring</t>
        </is>
      </c>
      <c r="F140" s="13" t="inlineStr">
        <is>
          <t>Any supplier</t>
        </is>
      </c>
      <c r="G140" s="14" t="inlineStr">
        <is>
          <t>–</t>
        </is>
      </c>
      <c r="H140" s="12" t="n"/>
      <c r="I140" s="12" t="n"/>
      <c r="J140" s="12" t="n"/>
    </row>
    <row r="141">
      <c r="A141" s="12" t="inlineStr">
        <is>
          <t>11.03</t>
        </is>
      </c>
      <c r="B141" s="13" t="inlineStr">
        <is>
          <t>M3 and M5 taps</t>
        </is>
      </c>
      <c r="C141" s="13" t="inlineStr">
        <is>
          <t>The M5 tap is only needed if your extrusion supplier does not tap the ends. M3 is needed for printed parts</t>
        </is>
      </c>
      <c r="D141" s="17" t="n">
        <v>1</v>
      </c>
      <c r="E141" s="13" t="inlineStr">
        <is>
          <t>Frame extrusion ends</t>
        </is>
      </c>
      <c r="F141" s="13" t="inlineStr">
        <is>
          <t>RS</t>
        </is>
      </c>
      <c r="G141" s="14" t="inlineStr">
        <is>
          <t>Open page</t>
        </is>
      </c>
      <c r="H141" s="12" t="n"/>
      <c r="I141" s="12" t="n"/>
      <c r="J141" s="12" t="n"/>
    </row>
    <row r="142">
      <c r="A142" s="12" t="inlineStr">
        <is>
          <t>11.04</t>
        </is>
      </c>
      <c r="B142" s="13" t="inlineStr">
        <is>
          <t>Crimping tool for JST PH and JST SM connectors</t>
        </is>
      </c>
      <c r="C142" s="13" t="inlineStr">
        <is>
          <t>IWISS SN-2549 ratcheting crimper, 0.08-1.0 mm², for JST PH / SM and Dupont-type terminals</t>
        </is>
      </c>
      <c r="D142" s="17" t="n">
        <v>1</v>
      </c>
      <c r="E142" s="13" t="inlineStr">
        <is>
          <t>Cable leads</t>
        </is>
      </c>
      <c r="F142" s="13" t="inlineStr">
        <is>
          <t>Amazon UK</t>
        </is>
      </c>
      <c r="G142" s="14" t="inlineStr">
        <is>
          <t>Open page</t>
        </is>
      </c>
      <c r="H142" s="12" t="n"/>
      <c r="I142" s="12" t="n"/>
      <c r="J142" s="12" t="n"/>
    </row>
  </sheetData>
  <mergeCells count="1">
    <mergeCell ref="A2:J2"/>
  </mergeCells>
  <hyperlinks>
    <hyperlink xmlns:r="http://schemas.openxmlformats.org/officeDocument/2006/relationships" ref="G7" r:id="rId1"/>
    <hyperlink xmlns:r="http://schemas.openxmlformats.org/officeDocument/2006/relationships" ref="H7" r:id="rId2"/>
    <hyperlink xmlns:r="http://schemas.openxmlformats.org/officeDocument/2006/relationships" ref="I7" r:id="rId3"/>
    <hyperlink xmlns:r="http://schemas.openxmlformats.org/officeDocument/2006/relationships" ref="J7" r:id="rId4"/>
    <hyperlink xmlns:r="http://schemas.openxmlformats.org/officeDocument/2006/relationships" ref="G8" r:id="rId5"/>
    <hyperlink xmlns:r="http://schemas.openxmlformats.org/officeDocument/2006/relationships" ref="H8" r:id="rId6"/>
    <hyperlink xmlns:r="http://schemas.openxmlformats.org/officeDocument/2006/relationships" ref="I8" r:id="rId7"/>
    <hyperlink xmlns:r="http://schemas.openxmlformats.org/officeDocument/2006/relationships" ref="J8" r:id="rId8"/>
    <hyperlink xmlns:r="http://schemas.openxmlformats.org/officeDocument/2006/relationships" ref="G9" r:id="rId9"/>
    <hyperlink xmlns:r="http://schemas.openxmlformats.org/officeDocument/2006/relationships" ref="H9" r:id="rId10"/>
    <hyperlink xmlns:r="http://schemas.openxmlformats.org/officeDocument/2006/relationships" ref="I9" r:id="rId11"/>
    <hyperlink xmlns:r="http://schemas.openxmlformats.org/officeDocument/2006/relationships" ref="J9" r:id="rId12"/>
    <hyperlink xmlns:r="http://schemas.openxmlformats.org/officeDocument/2006/relationships" ref="G10" r:id="rId13"/>
    <hyperlink xmlns:r="http://schemas.openxmlformats.org/officeDocument/2006/relationships" ref="H10" r:id="rId14"/>
    <hyperlink xmlns:r="http://schemas.openxmlformats.org/officeDocument/2006/relationships" ref="I10" r:id="rId15"/>
    <hyperlink xmlns:r="http://schemas.openxmlformats.org/officeDocument/2006/relationships" ref="J10" r:id="rId16"/>
    <hyperlink xmlns:r="http://schemas.openxmlformats.org/officeDocument/2006/relationships" ref="G11" r:id="rId17"/>
    <hyperlink xmlns:r="http://schemas.openxmlformats.org/officeDocument/2006/relationships" ref="H11" r:id="rId18"/>
    <hyperlink xmlns:r="http://schemas.openxmlformats.org/officeDocument/2006/relationships" ref="I11" r:id="rId19"/>
    <hyperlink xmlns:r="http://schemas.openxmlformats.org/officeDocument/2006/relationships" ref="J11" r:id="rId20"/>
    <hyperlink xmlns:r="http://schemas.openxmlformats.org/officeDocument/2006/relationships" ref="G12" r:id="rId21"/>
    <hyperlink xmlns:r="http://schemas.openxmlformats.org/officeDocument/2006/relationships" ref="H12" r:id="rId22"/>
    <hyperlink xmlns:r="http://schemas.openxmlformats.org/officeDocument/2006/relationships" ref="I12" r:id="rId23"/>
    <hyperlink xmlns:r="http://schemas.openxmlformats.org/officeDocument/2006/relationships" ref="J12" r:id="rId24"/>
    <hyperlink xmlns:r="http://schemas.openxmlformats.org/officeDocument/2006/relationships" ref="G13" r:id="rId25"/>
    <hyperlink xmlns:r="http://schemas.openxmlformats.org/officeDocument/2006/relationships" ref="H13" r:id="rId26"/>
    <hyperlink xmlns:r="http://schemas.openxmlformats.org/officeDocument/2006/relationships" ref="I13" r:id="rId27"/>
    <hyperlink xmlns:r="http://schemas.openxmlformats.org/officeDocument/2006/relationships" ref="J13" r:id="rId28"/>
    <hyperlink xmlns:r="http://schemas.openxmlformats.org/officeDocument/2006/relationships" ref="G14" r:id="rId29"/>
    <hyperlink xmlns:r="http://schemas.openxmlformats.org/officeDocument/2006/relationships" ref="G15" r:id="rId30"/>
    <hyperlink xmlns:r="http://schemas.openxmlformats.org/officeDocument/2006/relationships" ref="G16" r:id="rId31"/>
    <hyperlink xmlns:r="http://schemas.openxmlformats.org/officeDocument/2006/relationships" ref="G17" r:id="rId32"/>
    <hyperlink xmlns:r="http://schemas.openxmlformats.org/officeDocument/2006/relationships" ref="G18" r:id="rId33"/>
    <hyperlink xmlns:r="http://schemas.openxmlformats.org/officeDocument/2006/relationships" ref="G19" r:id="rId34"/>
    <hyperlink xmlns:r="http://schemas.openxmlformats.org/officeDocument/2006/relationships" ref="G21" r:id="rId35"/>
    <hyperlink xmlns:r="http://schemas.openxmlformats.org/officeDocument/2006/relationships" ref="H21" r:id="rId36"/>
    <hyperlink xmlns:r="http://schemas.openxmlformats.org/officeDocument/2006/relationships" ref="I21" r:id="rId37"/>
    <hyperlink xmlns:r="http://schemas.openxmlformats.org/officeDocument/2006/relationships" ref="J21" r:id="rId38"/>
    <hyperlink xmlns:r="http://schemas.openxmlformats.org/officeDocument/2006/relationships" ref="G22" r:id="rId39"/>
    <hyperlink xmlns:r="http://schemas.openxmlformats.org/officeDocument/2006/relationships" ref="H22" r:id="rId40"/>
    <hyperlink xmlns:r="http://schemas.openxmlformats.org/officeDocument/2006/relationships" ref="I22" r:id="rId41"/>
    <hyperlink xmlns:r="http://schemas.openxmlformats.org/officeDocument/2006/relationships" ref="J22" r:id="rId42"/>
    <hyperlink xmlns:r="http://schemas.openxmlformats.org/officeDocument/2006/relationships" ref="G23" r:id="rId43"/>
    <hyperlink xmlns:r="http://schemas.openxmlformats.org/officeDocument/2006/relationships" ref="H23" r:id="rId44"/>
    <hyperlink xmlns:r="http://schemas.openxmlformats.org/officeDocument/2006/relationships" ref="I23" r:id="rId45"/>
    <hyperlink xmlns:r="http://schemas.openxmlformats.org/officeDocument/2006/relationships" ref="J23" r:id="rId46"/>
    <hyperlink xmlns:r="http://schemas.openxmlformats.org/officeDocument/2006/relationships" ref="G25" r:id="rId47"/>
    <hyperlink xmlns:r="http://schemas.openxmlformats.org/officeDocument/2006/relationships" ref="H25" r:id="rId48"/>
    <hyperlink xmlns:r="http://schemas.openxmlformats.org/officeDocument/2006/relationships" ref="I25" r:id="rId49"/>
    <hyperlink xmlns:r="http://schemas.openxmlformats.org/officeDocument/2006/relationships" ref="J25" r:id="rId50"/>
    <hyperlink xmlns:r="http://schemas.openxmlformats.org/officeDocument/2006/relationships" ref="G26" r:id="rId51"/>
    <hyperlink xmlns:r="http://schemas.openxmlformats.org/officeDocument/2006/relationships" ref="H26" r:id="rId52"/>
    <hyperlink xmlns:r="http://schemas.openxmlformats.org/officeDocument/2006/relationships" ref="I26" r:id="rId53"/>
    <hyperlink xmlns:r="http://schemas.openxmlformats.org/officeDocument/2006/relationships" ref="J26" r:id="rId54"/>
    <hyperlink xmlns:r="http://schemas.openxmlformats.org/officeDocument/2006/relationships" ref="G27" r:id="rId55"/>
    <hyperlink xmlns:r="http://schemas.openxmlformats.org/officeDocument/2006/relationships" ref="H27" r:id="rId56"/>
    <hyperlink xmlns:r="http://schemas.openxmlformats.org/officeDocument/2006/relationships" ref="I27" r:id="rId57"/>
    <hyperlink xmlns:r="http://schemas.openxmlformats.org/officeDocument/2006/relationships" ref="J27" r:id="rId58"/>
    <hyperlink xmlns:r="http://schemas.openxmlformats.org/officeDocument/2006/relationships" ref="G28" r:id="rId59"/>
    <hyperlink xmlns:r="http://schemas.openxmlformats.org/officeDocument/2006/relationships" ref="H28" r:id="rId60"/>
    <hyperlink xmlns:r="http://schemas.openxmlformats.org/officeDocument/2006/relationships" ref="I28" r:id="rId61"/>
    <hyperlink xmlns:r="http://schemas.openxmlformats.org/officeDocument/2006/relationships" ref="J28" r:id="rId62"/>
    <hyperlink xmlns:r="http://schemas.openxmlformats.org/officeDocument/2006/relationships" ref="G29" r:id="rId63"/>
    <hyperlink xmlns:r="http://schemas.openxmlformats.org/officeDocument/2006/relationships" ref="H29" r:id="rId64"/>
    <hyperlink xmlns:r="http://schemas.openxmlformats.org/officeDocument/2006/relationships" ref="I29" r:id="rId65"/>
    <hyperlink xmlns:r="http://schemas.openxmlformats.org/officeDocument/2006/relationships" ref="J29" r:id="rId66"/>
    <hyperlink xmlns:r="http://schemas.openxmlformats.org/officeDocument/2006/relationships" ref="G31" r:id="rId67"/>
    <hyperlink xmlns:r="http://schemas.openxmlformats.org/officeDocument/2006/relationships" ref="G32" r:id="rId68"/>
    <hyperlink xmlns:r="http://schemas.openxmlformats.org/officeDocument/2006/relationships" ref="G33" r:id="rId69"/>
    <hyperlink xmlns:r="http://schemas.openxmlformats.org/officeDocument/2006/relationships" ref="G34" r:id="rId70"/>
    <hyperlink xmlns:r="http://schemas.openxmlformats.org/officeDocument/2006/relationships" ref="H34" r:id="rId71"/>
    <hyperlink xmlns:r="http://schemas.openxmlformats.org/officeDocument/2006/relationships" ref="I34" r:id="rId72"/>
    <hyperlink xmlns:r="http://schemas.openxmlformats.org/officeDocument/2006/relationships" ref="J34" r:id="rId73"/>
    <hyperlink xmlns:r="http://schemas.openxmlformats.org/officeDocument/2006/relationships" ref="G35" r:id="rId74"/>
    <hyperlink xmlns:r="http://schemas.openxmlformats.org/officeDocument/2006/relationships" ref="H35" r:id="rId75"/>
    <hyperlink xmlns:r="http://schemas.openxmlformats.org/officeDocument/2006/relationships" ref="I35" r:id="rId76"/>
    <hyperlink xmlns:r="http://schemas.openxmlformats.org/officeDocument/2006/relationships" ref="J35" r:id="rId77"/>
    <hyperlink xmlns:r="http://schemas.openxmlformats.org/officeDocument/2006/relationships" ref="H36" r:id="rId78"/>
    <hyperlink xmlns:r="http://schemas.openxmlformats.org/officeDocument/2006/relationships" ref="I36" r:id="rId79"/>
    <hyperlink xmlns:r="http://schemas.openxmlformats.org/officeDocument/2006/relationships" ref="J36" r:id="rId80"/>
    <hyperlink xmlns:r="http://schemas.openxmlformats.org/officeDocument/2006/relationships" ref="H37" r:id="rId81"/>
    <hyperlink xmlns:r="http://schemas.openxmlformats.org/officeDocument/2006/relationships" ref="I37" r:id="rId82"/>
    <hyperlink xmlns:r="http://schemas.openxmlformats.org/officeDocument/2006/relationships" ref="J37" r:id="rId83"/>
    <hyperlink xmlns:r="http://schemas.openxmlformats.org/officeDocument/2006/relationships" ref="G38" r:id="rId84"/>
    <hyperlink xmlns:r="http://schemas.openxmlformats.org/officeDocument/2006/relationships" ref="G39" r:id="rId85"/>
    <hyperlink xmlns:r="http://schemas.openxmlformats.org/officeDocument/2006/relationships" ref="H39" r:id="rId86"/>
    <hyperlink xmlns:r="http://schemas.openxmlformats.org/officeDocument/2006/relationships" ref="I39" r:id="rId87"/>
    <hyperlink xmlns:r="http://schemas.openxmlformats.org/officeDocument/2006/relationships" ref="J39" r:id="rId88"/>
    <hyperlink xmlns:r="http://schemas.openxmlformats.org/officeDocument/2006/relationships" ref="G40" r:id="rId89"/>
    <hyperlink xmlns:r="http://schemas.openxmlformats.org/officeDocument/2006/relationships" ref="H40" r:id="rId90"/>
    <hyperlink xmlns:r="http://schemas.openxmlformats.org/officeDocument/2006/relationships" ref="I40" r:id="rId91"/>
    <hyperlink xmlns:r="http://schemas.openxmlformats.org/officeDocument/2006/relationships" ref="J40" r:id="rId92"/>
    <hyperlink xmlns:r="http://schemas.openxmlformats.org/officeDocument/2006/relationships" ref="G41" r:id="rId93"/>
    <hyperlink xmlns:r="http://schemas.openxmlformats.org/officeDocument/2006/relationships" ref="H41" r:id="rId94"/>
    <hyperlink xmlns:r="http://schemas.openxmlformats.org/officeDocument/2006/relationships" ref="I41" r:id="rId95"/>
    <hyperlink xmlns:r="http://schemas.openxmlformats.org/officeDocument/2006/relationships" ref="J41" r:id="rId96"/>
    <hyperlink xmlns:r="http://schemas.openxmlformats.org/officeDocument/2006/relationships" ref="H42" r:id="rId97"/>
    <hyperlink xmlns:r="http://schemas.openxmlformats.org/officeDocument/2006/relationships" ref="I42" r:id="rId98"/>
    <hyperlink xmlns:r="http://schemas.openxmlformats.org/officeDocument/2006/relationships" ref="J42" r:id="rId99"/>
    <hyperlink xmlns:r="http://schemas.openxmlformats.org/officeDocument/2006/relationships" ref="G43" r:id="rId100"/>
    <hyperlink xmlns:r="http://schemas.openxmlformats.org/officeDocument/2006/relationships" ref="H43" r:id="rId101"/>
    <hyperlink xmlns:r="http://schemas.openxmlformats.org/officeDocument/2006/relationships" ref="I43" r:id="rId102"/>
    <hyperlink xmlns:r="http://schemas.openxmlformats.org/officeDocument/2006/relationships" ref="J43" r:id="rId103"/>
    <hyperlink xmlns:r="http://schemas.openxmlformats.org/officeDocument/2006/relationships" ref="G44" r:id="rId104"/>
    <hyperlink xmlns:r="http://schemas.openxmlformats.org/officeDocument/2006/relationships" ref="H44" r:id="rId105"/>
    <hyperlink xmlns:r="http://schemas.openxmlformats.org/officeDocument/2006/relationships" ref="I44" r:id="rId106"/>
    <hyperlink xmlns:r="http://schemas.openxmlformats.org/officeDocument/2006/relationships" ref="J44" r:id="rId107"/>
    <hyperlink xmlns:r="http://schemas.openxmlformats.org/officeDocument/2006/relationships" ref="G45" r:id="rId108"/>
    <hyperlink xmlns:r="http://schemas.openxmlformats.org/officeDocument/2006/relationships" ref="H45" r:id="rId109"/>
    <hyperlink xmlns:r="http://schemas.openxmlformats.org/officeDocument/2006/relationships" ref="I45" r:id="rId110"/>
    <hyperlink xmlns:r="http://schemas.openxmlformats.org/officeDocument/2006/relationships" ref="J45" r:id="rId111"/>
    <hyperlink xmlns:r="http://schemas.openxmlformats.org/officeDocument/2006/relationships" ref="G46" r:id="rId112"/>
    <hyperlink xmlns:r="http://schemas.openxmlformats.org/officeDocument/2006/relationships" ref="G47" r:id="rId113"/>
    <hyperlink xmlns:r="http://schemas.openxmlformats.org/officeDocument/2006/relationships" ref="G48" r:id="rId114"/>
    <hyperlink xmlns:r="http://schemas.openxmlformats.org/officeDocument/2006/relationships" ref="G49" r:id="rId115"/>
    <hyperlink xmlns:r="http://schemas.openxmlformats.org/officeDocument/2006/relationships" ref="G50" r:id="rId116"/>
    <hyperlink xmlns:r="http://schemas.openxmlformats.org/officeDocument/2006/relationships" ref="G52" r:id="rId117"/>
    <hyperlink xmlns:r="http://schemas.openxmlformats.org/officeDocument/2006/relationships" ref="H52" r:id="rId118"/>
    <hyperlink xmlns:r="http://schemas.openxmlformats.org/officeDocument/2006/relationships" ref="I52" r:id="rId119"/>
    <hyperlink xmlns:r="http://schemas.openxmlformats.org/officeDocument/2006/relationships" ref="J52" r:id="rId120"/>
    <hyperlink xmlns:r="http://schemas.openxmlformats.org/officeDocument/2006/relationships" ref="G53" r:id="rId121"/>
    <hyperlink xmlns:r="http://schemas.openxmlformats.org/officeDocument/2006/relationships" ref="G54" r:id="rId122"/>
    <hyperlink xmlns:r="http://schemas.openxmlformats.org/officeDocument/2006/relationships" ref="G55" r:id="rId123"/>
    <hyperlink xmlns:r="http://schemas.openxmlformats.org/officeDocument/2006/relationships" ref="H55" r:id="rId124"/>
    <hyperlink xmlns:r="http://schemas.openxmlformats.org/officeDocument/2006/relationships" ref="I55" r:id="rId125"/>
    <hyperlink xmlns:r="http://schemas.openxmlformats.org/officeDocument/2006/relationships" ref="J55" r:id="rId126"/>
    <hyperlink xmlns:r="http://schemas.openxmlformats.org/officeDocument/2006/relationships" ref="H56" r:id="rId127"/>
    <hyperlink xmlns:r="http://schemas.openxmlformats.org/officeDocument/2006/relationships" ref="I56" r:id="rId128"/>
    <hyperlink xmlns:r="http://schemas.openxmlformats.org/officeDocument/2006/relationships" ref="J56" r:id="rId129"/>
    <hyperlink xmlns:r="http://schemas.openxmlformats.org/officeDocument/2006/relationships" ref="G59" r:id="rId130"/>
    <hyperlink xmlns:r="http://schemas.openxmlformats.org/officeDocument/2006/relationships" ref="G60" r:id="rId131"/>
    <hyperlink xmlns:r="http://schemas.openxmlformats.org/officeDocument/2006/relationships" ref="H60" r:id="rId132"/>
    <hyperlink xmlns:r="http://schemas.openxmlformats.org/officeDocument/2006/relationships" ref="I60" r:id="rId133"/>
    <hyperlink xmlns:r="http://schemas.openxmlformats.org/officeDocument/2006/relationships" ref="J60" r:id="rId134"/>
    <hyperlink xmlns:r="http://schemas.openxmlformats.org/officeDocument/2006/relationships" ref="G62" r:id="rId135"/>
    <hyperlink xmlns:r="http://schemas.openxmlformats.org/officeDocument/2006/relationships" ref="G63" r:id="rId136"/>
    <hyperlink xmlns:r="http://schemas.openxmlformats.org/officeDocument/2006/relationships" ref="G64" r:id="rId137"/>
    <hyperlink xmlns:r="http://schemas.openxmlformats.org/officeDocument/2006/relationships" ref="G65" r:id="rId138"/>
    <hyperlink xmlns:r="http://schemas.openxmlformats.org/officeDocument/2006/relationships" ref="G66" r:id="rId139"/>
    <hyperlink xmlns:r="http://schemas.openxmlformats.org/officeDocument/2006/relationships" ref="G67" r:id="rId140"/>
    <hyperlink xmlns:r="http://schemas.openxmlformats.org/officeDocument/2006/relationships" ref="G68" r:id="rId141"/>
    <hyperlink xmlns:r="http://schemas.openxmlformats.org/officeDocument/2006/relationships" ref="G69" r:id="rId142"/>
    <hyperlink xmlns:r="http://schemas.openxmlformats.org/officeDocument/2006/relationships" ref="G70" r:id="rId143"/>
    <hyperlink xmlns:r="http://schemas.openxmlformats.org/officeDocument/2006/relationships" ref="G71" r:id="rId144"/>
    <hyperlink xmlns:r="http://schemas.openxmlformats.org/officeDocument/2006/relationships" ref="G72" r:id="rId145"/>
    <hyperlink xmlns:r="http://schemas.openxmlformats.org/officeDocument/2006/relationships" ref="H72" r:id="rId146"/>
    <hyperlink xmlns:r="http://schemas.openxmlformats.org/officeDocument/2006/relationships" ref="I72" r:id="rId147"/>
    <hyperlink xmlns:r="http://schemas.openxmlformats.org/officeDocument/2006/relationships" ref="J72" r:id="rId148"/>
    <hyperlink xmlns:r="http://schemas.openxmlformats.org/officeDocument/2006/relationships" ref="G73" r:id="rId149"/>
    <hyperlink xmlns:r="http://schemas.openxmlformats.org/officeDocument/2006/relationships" ref="H73" r:id="rId150"/>
    <hyperlink xmlns:r="http://schemas.openxmlformats.org/officeDocument/2006/relationships" ref="I73" r:id="rId151"/>
    <hyperlink xmlns:r="http://schemas.openxmlformats.org/officeDocument/2006/relationships" ref="J73" r:id="rId152"/>
    <hyperlink xmlns:r="http://schemas.openxmlformats.org/officeDocument/2006/relationships" ref="G75" r:id="rId153"/>
    <hyperlink xmlns:r="http://schemas.openxmlformats.org/officeDocument/2006/relationships" ref="G76" r:id="rId154"/>
    <hyperlink xmlns:r="http://schemas.openxmlformats.org/officeDocument/2006/relationships" ref="G77" r:id="rId155"/>
    <hyperlink xmlns:r="http://schemas.openxmlformats.org/officeDocument/2006/relationships" ref="G78" r:id="rId156"/>
    <hyperlink xmlns:r="http://schemas.openxmlformats.org/officeDocument/2006/relationships" ref="G79" r:id="rId157"/>
    <hyperlink xmlns:r="http://schemas.openxmlformats.org/officeDocument/2006/relationships" ref="H79" r:id="rId158"/>
    <hyperlink xmlns:r="http://schemas.openxmlformats.org/officeDocument/2006/relationships" ref="I79" r:id="rId159"/>
    <hyperlink xmlns:r="http://schemas.openxmlformats.org/officeDocument/2006/relationships" ref="J79" r:id="rId160"/>
    <hyperlink xmlns:r="http://schemas.openxmlformats.org/officeDocument/2006/relationships" ref="G82" r:id="rId161"/>
    <hyperlink xmlns:r="http://schemas.openxmlformats.org/officeDocument/2006/relationships" ref="H82" r:id="rId162"/>
    <hyperlink xmlns:r="http://schemas.openxmlformats.org/officeDocument/2006/relationships" ref="I82" r:id="rId163"/>
    <hyperlink xmlns:r="http://schemas.openxmlformats.org/officeDocument/2006/relationships" ref="J82" r:id="rId164"/>
    <hyperlink xmlns:r="http://schemas.openxmlformats.org/officeDocument/2006/relationships" ref="G83" r:id="rId165"/>
    <hyperlink xmlns:r="http://schemas.openxmlformats.org/officeDocument/2006/relationships" ref="H83" r:id="rId166"/>
    <hyperlink xmlns:r="http://schemas.openxmlformats.org/officeDocument/2006/relationships" ref="I83" r:id="rId167"/>
    <hyperlink xmlns:r="http://schemas.openxmlformats.org/officeDocument/2006/relationships" ref="J83" r:id="rId168"/>
    <hyperlink xmlns:r="http://schemas.openxmlformats.org/officeDocument/2006/relationships" ref="G85" r:id="rId169"/>
    <hyperlink xmlns:r="http://schemas.openxmlformats.org/officeDocument/2006/relationships" ref="G86" r:id="rId170"/>
    <hyperlink xmlns:r="http://schemas.openxmlformats.org/officeDocument/2006/relationships" ref="G88" r:id="rId171"/>
    <hyperlink xmlns:r="http://schemas.openxmlformats.org/officeDocument/2006/relationships" ref="G89" r:id="rId172"/>
    <hyperlink xmlns:r="http://schemas.openxmlformats.org/officeDocument/2006/relationships" ref="G90" r:id="rId173"/>
    <hyperlink xmlns:r="http://schemas.openxmlformats.org/officeDocument/2006/relationships" ref="G91" r:id="rId174"/>
    <hyperlink xmlns:r="http://schemas.openxmlformats.org/officeDocument/2006/relationships" ref="G92" r:id="rId175"/>
    <hyperlink xmlns:r="http://schemas.openxmlformats.org/officeDocument/2006/relationships" ref="G93" r:id="rId176"/>
    <hyperlink xmlns:r="http://schemas.openxmlformats.org/officeDocument/2006/relationships" ref="G94" r:id="rId177"/>
    <hyperlink xmlns:r="http://schemas.openxmlformats.org/officeDocument/2006/relationships" ref="G95" r:id="rId178"/>
    <hyperlink xmlns:r="http://schemas.openxmlformats.org/officeDocument/2006/relationships" ref="G96" r:id="rId179"/>
    <hyperlink xmlns:r="http://schemas.openxmlformats.org/officeDocument/2006/relationships" ref="G97" r:id="rId180"/>
    <hyperlink xmlns:r="http://schemas.openxmlformats.org/officeDocument/2006/relationships" ref="G98" r:id="rId181"/>
    <hyperlink xmlns:r="http://schemas.openxmlformats.org/officeDocument/2006/relationships" ref="G99" r:id="rId182"/>
    <hyperlink xmlns:r="http://schemas.openxmlformats.org/officeDocument/2006/relationships" ref="G100" r:id="rId183"/>
    <hyperlink xmlns:r="http://schemas.openxmlformats.org/officeDocument/2006/relationships" ref="G101" r:id="rId184"/>
    <hyperlink xmlns:r="http://schemas.openxmlformats.org/officeDocument/2006/relationships" ref="G102" r:id="rId185"/>
    <hyperlink xmlns:r="http://schemas.openxmlformats.org/officeDocument/2006/relationships" ref="G103" r:id="rId186"/>
    <hyperlink xmlns:r="http://schemas.openxmlformats.org/officeDocument/2006/relationships" ref="G104" r:id="rId187"/>
    <hyperlink xmlns:r="http://schemas.openxmlformats.org/officeDocument/2006/relationships" ref="G105" r:id="rId188"/>
    <hyperlink xmlns:r="http://schemas.openxmlformats.org/officeDocument/2006/relationships" ref="G106" r:id="rId189"/>
    <hyperlink xmlns:r="http://schemas.openxmlformats.org/officeDocument/2006/relationships" ref="G107" r:id="rId190"/>
    <hyperlink xmlns:r="http://schemas.openxmlformats.org/officeDocument/2006/relationships" ref="G108" r:id="rId191"/>
    <hyperlink xmlns:r="http://schemas.openxmlformats.org/officeDocument/2006/relationships" ref="G109" r:id="rId192"/>
    <hyperlink xmlns:r="http://schemas.openxmlformats.org/officeDocument/2006/relationships" ref="G111" r:id="rId193"/>
    <hyperlink xmlns:r="http://schemas.openxmlformats.org/officeDocument/2006/relationships" ref="G112" r:id="rId194"/>
    <hyperlink xmlns:r="http://schemas.openxmlformats.org/officeDocument/2006/relationships" ref="G113" r:id="rId195"/>
    <hyperlink xmlns:r="http://schemas.openxmlformats.org/officeDocument/2006/relationships" ref="G114" r:id="rId196"/>
    <hyperlink xmlns:r="http://schemas.openxmlformats.org/officeDocument/2006/relationships" ref="G115" r:id="rId197"/>
    <hyperlink xmlns:r="http://schemas.openxmlformats.org/officeDocument/2006/relationships" ref="G116" r:id="rId198"/>
    <hyperlink xmlns:r="http://schemas.openxmlformats.org/officeDocument/2006/relationships" ref="G117" r:id="rId199"/>
    <hyperlink xmlns:r="http://schemas.openxmlformats.org/officeDocument/2006/relationships" ref="G118" r:id="rId200"/>
    <hyperlink xmlns:r="http://schemas.openxmlformats.org/officeDocument/2006/relationships" ref="G119" r:id="rId201"/>
    <hyperlink xmlns:r="http://schemas.openxmlformats.org/officeDocument/2006/relationships" ref="G120" r:id="rId202"/>
    <hyperlink xmlns:r="http://schemas.openxmlformats.org/officeDocument/2006/relationships" ref="G121" r:id="rId203"/>
    <hyperlink xmlns:r="http://schemas.openxmlformats.org/officeDocument/2006/relationships" ref="G122" r:id="rId204"/>
    <hyperlink xmlns:r="http://schemas.openxmlformats.org/officeDocument/2006/relationships" ref="G123" r:id="rId205"/>
    <hyperlink xmlns:r="http://schemas.openxmlformats.org/officeDocument/2006/relationships" ref="G124" r:id="rId206"/>
    <hyperlink xmlns:r="http://schemas.openxmlformats.org/officeDocument/2006/relationships" ref="G125" r:id="rId207"/>
    <hyperlink xmlns:r="http://schemas.openxmlformats.org/officeDocument/2006/relationships" ref="G126" r:id="rId208"/>
    <hyperlink xmlns:r="http://schemas.openxmlformats.org/officeDocument/2006/relationships" ref="G127" r:id="rId209"/>
    <hyperlink xmlns:r="http://schemas.openxmlformats.org/officeDocument/2006/relationships" ref="G128" r:id="rId210"/>
    <hyperlink xmlns:r="http://schemas.openxmlformats.org/officeDocument/2006/relationships" ref="G129" r:id="rId211"/>
    <hyperlink xmlns:r="http://schemas.openxmlformats.org/officeDocument/2006/relationships" ref="G130" r:id="rId212"/>
    <hyperlink xmlns:r="http://schemas.openxmlformats.org/officeDocument/2006/relationships" ref="G131" r:id="rId213"/>
    <hyperlink xmlns:r="http://schemas.openxmlformats.org/officeDocument/2006/relationships" ref="G132" r:id="rId214"/>
    <hyperlink xmlns:r="http://schemas.openxmlformats.org/officeDocument/2006/relationships" ref="G133" r:id="rId215"/>
    <hyperlink xmlns:r="http://schemas.openxmlformats.org/officeDocument/2006/relationships" ref="G134" r:id="rId216"/>
    <hyperlink xmlns:r="http://schemas.openxmlformats.org/officeDocument/2006/relationships" ref="G135" r:id="rId217"/>
    <hyperlink xmlns:r="http://schemas.openxmlformats.org/officeDocument/2006/relationships" ref="G136" r:id="rId218"/>
    <hyperlink xmlns:r="http://schemas.openxmlformats.org/officeDocument/2006/relationships" ref="G139" r:id="rId219"/>
    <hyperlink xmlns:r="http://schemas.openxmlformats.org/officeDocument/2006/relationships" ref="G141" r:id="rId220"/>
    <hyperlink xmlns:r="http://schemas.openxmlformats.org/officeDocument/2006/relationships" ref="G142" r:id="rId221"/>
  </hyperlink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J65"/>
  <sheetViews>
    <sheetView workbookViewId="0">
      <pane ySplit="4" topLeftCell="A5" activePane="bottomLeft" state="frozen"/>
      <selection pane="bottomLeft" activeCell="A1" sqref="A1"/>
    </sheetView>
  </sheetViews>
  <sheetFormatPr baseColWidth="8" defaultRowHeight="15"/>
  <cols>
    <col width="30" customWidth="1" min="1" max="1"/>
    <col width="34" customWidth="1" min="2" max="2"/>
    <col width="6" customWidth="1" min="3" max="3"/>
    <col width="30" customWidth="1" min="4" max="4"/>
    <col width="6" customWidth="1" min="5" max="5"/>
    <col width="18" customWidth="1" min="6" max="6"/>
    <col width="10" customWidth="1" min="7" max="7"/>
    <col width="70" customWidth="1" min="8" max="8"/>
    <col width="34" customWidth="1" min="9" max="9"/>
    <col width="14" customWidth="1" min="10" max="10"/>
  </cols>
  <sheetData>
    <row r="1">
      <c r="A1" s="63" t="inlineStr">
        <is>
          <t>Fixings by part – walk-through of the build, bottom frame upwards (work in progress)</t>
        </is>
      </c>
    </row>
    <row r="2">
      <c r="A2" t="inlineStr">
        <is>
          <t>Dictated by Ed on 24 Oct 2026. Totals are reconciled against the BOM sheet afterwards.</t>
        </is>
      </c>
    </row>
    <row r="4">
      <c r="A4" s="9" t="inlineStr">
        <is>
          <t>Assembly / part</t>
        </is>
      </c>
      <c r="B4" s="10" t="inlineStr">
        <is>
          <t>Fastener</t>
        </is>
      </c>
      <c r="C4" s="10" t="inlineStr">
        <is>
          <t>Qty</t>
        </is>
      </c>
      <c r="D4" s="9" t="inlineStr">
        <is>
          <t>Nut / insert</t>
        </is>
      </c>
      <c r="E4" s="9" t="inlineStr">
        <is>
          <t>Qty</t>
        </is>
      </c>
      <c r="F4" s="10" t="inlineStr">
        <is>
          <t>Supplied with part?</t>
        </is>
      </c>
      <c r="G4" s="10" t="inlineStr">
        <is>
          <t>BOM row</t>
        </is>
      </c>
      <c r="H4" s="9" t="inlineStr">
        <is>
          <t>Notes</t>
        </is>
      </c>
      <c r="I4" s="9" t="inlineStr">
        <is>
          <t>Screw key</t>
        </is>
      </c>
      <c r="J4" s="9" t="inlineStr">
        <is>
          <t>Nut key</t>
        </is>
      </c>
    </row>
    <row r="5">
      <c r="A5" s="64" t="inlineStr">
        <is>
          <t>Bottom frame – rubber feet</t>
        </is>
      </c>
      <c r="B5" s="64" t="inlineStr">
        <is>
          <t>Button head screw, approx. M3 x 16 (length to confirm)</t>
        </is>
      </c>
      <c r="C5" s="64" t="n">
        <v>4</v>
      </c>
      <c r="D5" s="64" t="inlineStr">
        <is>
          <t>M3 spring-ball T-slot nut (KJN43719)</t>
        </is>
      </c>
      <c r="E5" s="64" t="n">
        <v>4</v>
      </c>
      <c r="F5" s="64" t="inlineStr">
        <is>
          <t>Yes, screws came with the feet</t>
        </is>
      </c>
      <c r="G5" s="64" t="inlineStr">
        <is>
          <t>1.07, 7.10, 7.14</t>
        </is>
      </c>
      <c r="H5" s="64" t="inlineStr">
        <is>
          <t>Per Ed. The BOM currently lists 4 x M3 x 12 button head for 'Frame – feet' (7.10): check whether that should be dropped or changed to 16 mm. The 4 nuts are part of the 16 M3 nuts.</t>
        </is>
      </c>
      <c r="I5" s="64" t="inlineStr">
        <is>
          <t>M3 x 16 button head (approx.)</t>
        </is>
      </c>
      <c r="J5" s="64" t="inlineStr">
        <is>
          <t>M3 T-nut</t>
        </is>
      </c>
    </row>
    <row r="6">
      <c r="A6" s="64" t="inlineStr">
        <is>
          <t>Bottom frame – 4 extrusions + 4 corner cubes (square)</t>
        </is>
      </c>
      <c r="B6" s="64" t="inlineStr">
        <is>
          <t>Socket head (cap) screw M5 x 12</t>
        </is>
      </c>
      <c r="C6" s="64" t="n">
        <v>8</v>
      </c>
      <c r="D6" s="64" t="inlineStr">
        <is>
          <t>None (bolts go into the tapped extrusion ends)</t>
        </is>
      </c>
      <c r="E6" s="64" t="n"/>
      <c r="F6" s="64" t="inlineStr">
        <is>
          <t>No</t>
        </is>
      </c>
      <c r="G6" s="64" t="inlineStr">
        <is>
          <t>1.01, 1.02, 1.05, 8.03</t>
        </is>
      </c>
      <c r="H6" s="64" t="inlineStr">
        <is>
          <t>Per Ed: M5 x 12 is enough (16 was considered). 2 bolts per cube x 4 cubes = 8. The third hole of each cube is still to be covered (uprights?). BOM row 8.03 has 22 in total for the whole frame.</t>
        </is>
      </c>
      <c r="I6" s="64" t="inlineStr">
        <is>
          <t>M5 x 12 cap head</t>
        </is>
      </c>
      <c r="J6" s="64" t="n"/>
    </row>
    <row r="7">
      <c r="A7" s="64" t="inlineStr">
        <is>
          <t>Bottom frame – bed support extrusion (horizontal cross-member, keeps the frame square), 2 x L brackets</t>
        </is>
      </c>
      <c r="B7" s="64" t="inlineStr">
        <is>
          <t>Button head screw M5 x 8</t>
        </is>
      </c>
      <c r="C7" s="64" t="n">
        <v>4</v>
      </c>
      <c r="D7" s="64" t="inlineStr">
        <is>
          <t>M5 spring-ball T-slot nut (KJN37001)</t>
        </is>
      </c>
      <c r="E7" s="64" t="n">
        <v>4</v>
      </c>
      <c r="F7" s="64" t="inlineStr">
        <is>
          <t>No</t>
        </is>
      </c>
      <c r="G7" s="64" t="inlineStr">
        <is>
          <t>1.06, 8.05, 8.07</t>
        </is>
      </c>
      <c r="H7" s="64" t="inlineStr">
        <is>
          <t>Per Ed. 2 screws + 2 nuts per bracket. Matches the 4 M5 x 8 button head 'frame 90-degree corners' in the BOM (8.04). The cross-member is one of the four 760 mm extrusions (confirmed by Ed). Wire slot: cut about 30 mm wide and about 7 mm deep into the extrusion so wires can be fed through; if you have no saw, drill holes through the centre instead. A plastic clip (a printed part from the mechanical design files, 'Cable Cap for Extrusion', row 10.32: confirmed by Ed) is fitted about 40 mm from one end. PHOTO NEEDED of the slot and the clip, for the docs.</t>
        </is>
      </c>
      <c r="I7" s="64" t="inlineStr">
        <is>
          <t>M5 x 8 button head</t>
        </is>
      </c>
      <c r="J7" s="64" t="inlineStr">
        <is>
          <t>M5 T-nut</t>
        </is>
      </c>
    </row>
    <row r="8">
      <c r="A8" s="64" t="inlineStr">
        <is>
          <t>Bottom frame – centre (760 mm) extrusion: electronics mount</t>
        </is>
      </c>
      <c r="B8" s="64" t="inlineStr">
        <is>
          <t>Button head screw M5 x 8</t>
        </is>
      </c>
      <c r="C8" s="64" t="n">
        <v>2</v>
      </c>
      <c r="D8" s="64" t="inlineStr">
        <is>
          <t>M5 spring-ball T-slot nut (KJN37001)</t>
        </is>
      </c>
      <c r="E8" s="64" t="n">
        <v>2</v>
      </c>
      <c r="F8" s="64" t="inlineStr">
        <is>
          <t>No</t>
        </is>
      </c>
      <c r="G8" s="64" t="inlineStr">
        <is>
          <t>8.05, 8.07</t>
        </is>
      </c>
      <c r="H8" s="64" t="inlineStr">
        <is>
          <t>Per Ed. Together with the 4 for the L brackets this makes 6, which matches the BOM's 6 x M5 x 8 button head (4 corners + 2 electronics enclosure).</t>
        </is>
      </c>
      <c r="I8" s="64" t="inlineStr">
        <is>
          <t>M5 x 8 button head</t>
        </is>
      </c>
      <c r="J8" s="64" t="inlineStr">
        <is>
          <t>M5 T-nut</t>
        </is>
      </c>
    </row>
    <row r="9">
      <c r="A9" s="64" t="inlineStr">
        <is>
          <t>Electronics enclosure – standoffs</t>
        </is>
      </c>
      <c r="B9" s="64" t="inlineStr">
        <is>
          <t>Nylon standoff, M3, male-female, about 18 mm</t>
        </is>
      </c>
      <c r="C9" s="64" t="n">
        <v>2</v>
      </c>
      <c r="D9" s="64" t="inlineStr">
        <is>
          <t>–</t>
        </is>
      </c>
      <c r="E9" s="64" t="n"/>
      <c r="F9" s="64" t="inlineStr">
        <is>
          <t>No (Ed to check whether he has any)</t>
        </is>
      </c>
      <c r="G9" s="64" t="inlineStr">
        <is>
          <t>4.15</t>
        </is>
      </c>
      <c r="H9" s="64" t="inlineStr">
        <is>
          <t>Per Ed: the threaded end goes through the controller board and into the housing; the cover screw goes into the other end. BOM and CAD had 20 mm: confirm the length. Ed to check whether he has any.</t>
        </is>
      </c>
      <c r="I9" s="64" t="inlineStr">
        <is>
          <t>M3 standoff, male-female (about 18 mm)</t>
        </is>
      </c>
      <c r="J9" s="64" t="n"/>
    </row>
    <row r="10">
      <c r="A10" s="64" t="inlineStr">
        <is>
          <t>Electronics enclosure – cover</t>
        </is>
      </c>
      <c r="B10" s="64" t="inlineStr">
        <is>
          <t>Countersunk screw M3 x 6, into the standoffs</t>
        </is>
      </c>
      <c r="C10" s="64" t="n">
        <v>2</v>
      </c>
      <c r="D10" s="64" t="inlineStr">
        <is>
          <t>–</t>
        </is>
      </c>
      <c r="E10" s="64" t="n"/>
      <c r="F10" s="64" t="inlineStr">
        <is>
          <t>No</t>
        </is>
      </c>
      <c r="G10" s="64" t="inlineStr">
        <is>
          <t>7.02</t>
        </is>
      </c>
      <c r="H10" s="64" t="inlineStr">
        <is>
          <t>Per Ed.</t>
        </is>
      </c>
      <c r="I10" s="64" t="inlineStr">
        <is>
          <t>M3 x 6 countersunk</t>
        </is>
      </c>
      <c r="J10" s="64" t="n"/>
    </row>
    <row r="11">
      <c r="A11" s="64" t="inlineStr">
        <is>
          <t>Electronics enclosure – cover (third hole)</t>
        </is>
      </c>
      <c r="B11" s="64" t="inlineStr">
        <is>
          <t>Countersunk screw M3 x 6, into a heat-set insert in the housing</t>
        </is>
      </c>
      <c r="C11" s="64" t="n">
        <v>1</v>
      </c>
      <c r="D11" s="64" t="inlineStr">
        <is>
          <t>–</t>
        </is>
      </c>
      <c r="E11" s="64" t="n"/>
      <c r="F11" s="64" t="inlineStr">
        <is>
          <t>No</t>
        </is>
      </c>
      <c r="G11" s="64" t="inlineStr">
        <is>
          <t>7.02 or 7.03, 7.15</t>
        </is>
      </c>
      <c r="H11" s="64" t="inlineStr">
        <is>
          <t>Per Ed: M3 x 6 is fine (not 8). The cover has 3 holes: 2 into the standoffs and 1 into the electronics housing. The housing holes use heat-set inserts.</t>
        </is>
      </c>
      <c r="I11" s="64" t="inlineStr">
        <is>
          <t>M3 x 6 countersunk</t>
        </is>
      </c>
      <c r="J11" s="64" t="n"/>
    </row>
    <row r="12">
      <c r="A12" s="64" t="inlineStr">
        <is>
          <t>Emerald Dingo controller board</t>
        </is>
      </c>
      <c r="B12" s="64" t="inlineStr">
        <is>
          <t>Button head screw M3 x 6</t>
        </is>
      </c>
      <c r="C12" s="64" t="n">
        <v>2</v>
      </c>
      <c r="D12" s="64" t="inlineStr">
        <is>
          <t>–</t>
        </is>
      </c>
      <c r="E12" s="64" t="n"/>
      <c r="F12" s="64" t="inlineStr">
        <is>
          <t>No</t>
        </is>
      </c>
      <c r="G12" s="64" t="inlineStr">
        <is>
          <t>7.08</t>
        </is>
      </c>
      <c r="H12" s="64" t="inlineStr">
        <is>
          <t>Per Ed: the board has 4 mounting holes. 2 are held by the standoffs (threaded through the board into the housing); the other 2 take these M3 x 6 button head screws into heat-set inserts in the housing. The housing holes in the plastic all use heat-set inserts (count to add to the M3 inserts: 3 for the screws, probably 2 more for the standoff studs).</t>
        </is>
      </c>
      <c r="I12" s="64" t="inlineStr">
        <is>
          <t>M3 x 6 button head</t>
        </is>
      </c>
      <c r="J12" s="64" t="n"/>
    </row>
    <row r="13">
      <c r="A13" s="64" t="inlineStr">
        <is>
          <t>Frame – four 50 mm legs on the bottom corner cubes</t>
        </is>
      </c>
      <c r="B13" s="64" t="inlineStr">
        <is>
          <t>Socket head (cap) screw M5 x 12</t>
        </is>
      </c>
      <c r="C13" s="64" t="n">
        <v>4</v>
      </c>
      <c r="D13" s="64" t="inlineStr">
        <is>
          <t>None (bolts go into the tapped leg ends)</t>
        </is>
      </c>
      <c r="E13" s="64" t="n"/>
      <c r="F13" s="64" t="inlineStr">
        <is>
          <t>No</t>
        </is>
      </c>
      <c r="G13" s="64" t="inlineStr">
        <is>
          <t>1.04, 1.05, 8.03</t>
        </is>
      </c>
      <c r="H13" s="64" t="inlineStr">
        <is>
          <t>Per Ed (length 12 'I think', same as the other cube bolts). 1 per leg, through the cube's third hole. Running tally of cube bolts: bottom square 8 + legs 4 = 12; the other 10 of the BOM's 22 would be the top (4 at the legs, 6 for the top rails, as the front top has no rail). To confirm when we reach the top frame.</t>
        </is>
      </c>
      <c r="I13" s="64" t="inlineStr">
        <is>
          <t>M5 x 12 cap head</t>
        </is>
      </c>
      <c r="J13" s="64" t="n"/>
    </row>
    <row r="14">
      <c r="A14" s="64" t="inlineStr">
        <is>
          <t>Metal baseboard (new bed) – on top faces of the extrusions</t>
        </is>
      </c>
      <c r="B14" s="64" t="inlineStr">
        <is>
          <t>Countersunk screw M5 x 8</t>
        </is>
      </c>
      <c r="C14" s="64" t="n">
        <v>8</v>
      </c>
      <c r="D14" s="64" t="inlineStr">
        <is>
          <t>M5 spring-ball T-slot nut (KJN37001)</t>
        </is>
      </c>
      <c r="E14" s="64" t="n">
        <v>8</v>
      </c>
      <c r="F14" s="64" t="inlineStr">
        <is>
          <t>No</t>
        </is>
      </c>
      <c r="G14" s="64" t="inlineStr">
        <is>
          <t>1.09, 8.01, 8.07</t>
        </is>
      </c>
      <c r="H14" s="64" t="inlineStr">
        <is>
          <t>Per Ed: 8 mounting points = 3 on the front rail, 3 on the back rail, 2 on the left-hand side rail (top faces of the extrusions). Countersink the bed holes before the vinyl is applied. Check whether the BOM's 18 x M5 x 8 countersunk (8.01: motors, idlers, Y left/right) already includes these 8, or whether the metal bed adds 8 more.</t>
        </is>
      </c>
      <c r="I14" s="64" t="inlineStr">
        <is>
          <t>M5 x 8 countersunk</t>
        </is>
      </c>
      <c r="J14" s="64" t="inlineStr">
        <is>
          <t>M5 T-nut</t>
        </is>
      </c>
    </row>
    <row r="15">
      <c r="A15" s="64" t="inlineStr">
        <is>
          <t>Y endstop mount (Y_Endstop_Mount.stl) on the front-left 50 mm leg (facing the back)</t>
        </is>
      </c>
      <c r="B15" s="64" t="inlineStr">
        <is>
          <t>Countersunk screw M5 x 8</t>
        </is>
      </c>
      <c r="C15" s="64" t="n">
        <v>1</v>
      </c>
      <c r="D15" s="64" t="inlineStr">
        <is>
          <t>M5 spring-ball T-slot nut (KJN37001)</t>
        </is>
      </c>
      <c r="E15" s="64" t="n">
        <v>1</v>
      </c>
      <c r="F15" s="64" t="inlineStr">
        <is>
          <t>No</t>
        </is>
      </c>
      <c r="G15" s="64" t="inlineStr">
        <is>
          <t>8.01, 8.07</t>
        </is>
      </c>
      <c r="H15" s="64" t="inlineStr">
        <is>
          <t>Per Ed (confirmed): this is the Y endstop. The nut slides into the leg, facing the back, and the mount is fixed to it with one M5 x 8 countersunk screw.</t>
        </is>
      </c>
      <c r="I15" s="64" t="inlineStr">
        <is>
          <t>M5 x 8 countersunk</t>
        </is>
      </c>
      <c r="J15" s="64" t="inlineStr">
        <is>
          <t>M5 T-nut</t>
        </is>
      </c>
    </row>
    <row r="16">
      <c r="A16" s="64" t="inlineStr">
        <is>
          <t>Y optical endstop on its mount (Y_Endstop_Mount.stl)</t>
        </is>
      </c>
      <c r="B16" s="64" t="inlineStr">
        <is>
          <t>Button head screw M3 x 6</t>
        </is>
      </c>
      <c r="C16" s="64" t="n">
        <v>2</v>
      </c>
      <c r="D16" s="64" t="inlineStr">
        <is>
          <t>–</t>
        </is>
      </c>
      <c r="E16" s="64" t="n"/>
      <c r="F16" s="64" t="inlineStr">
        <is>
          <t>No</t>
        </is>
      </c>
      <c r="G16" s="64" t="inlineStr">
        <is>
          <t>7.08</t>
        </is>
      </c>
      <c r="H16" s="64" t="inlineStr">
        <is>
          <t>Per Ed: 6 mm (6 or 8 would do). The 2 M3 screws go into the endstop mount and screw directly into threaded plastic (confirmed), so no inserts.</t>
        </is>
      </c>
      <c r="I16" s="64" t="inlineStr">
        <is>
          <t>M3 x 6 button head</t>
        </is>
      </c>
      <c r="J16" s="64" t="n"/>
    </row>
    <row r="17">
      <c r="A17" s="64" t="inlineStr">
        <is>
          <t>Power switch mount on the rear-right 50 mm leg (plastic parts to be added later)</t>
        </is>
      </c>
      <c r="B17" s="64" t="inlineStr">
        <is>
          <t>Countersunk screw M5 x 8</t>
        </is>
      </c>
      <c r="C17" s="64" t="n">
        <v>2</v>
      </c>
      <c r="D17" s="64" t="inlineStr">
        <is>
          <t>M5 spring-ball T-slot nut (KJN37001)</t>
        </is>
      </c>
      <c r="E17" s="64" t="n">
        <v>2</v>
      </c>
      <c r="F17" s="64" t="inlineStr">
        <is>
          <t>No</t>
        </is>
      </c>
      <c r="G17" s="64" t="inlineStr">
        <is>
          <t>8.01, 8.07</t>
        </is>
      </c>
      <c r="H17" s="64" t="inlineStr">
        <is>
          <t>Per Ed (confirmed countersunk): one bolt + nut on the inside face of the leg facing the front of the machine, and one on the inside face facing the inside of the machine (the X direction). 2 bolts, 2 nuts.</t>
        </is>
      </c>
      <c r="I17" s="64" t="inlineStr">
        <is>
          <t>M5 x 8 countersunk</t>
        </is>
      </c>
      <c r="J17" s="64" t="inlineStr">
        <is>
          <t>M5 T-nut</t>
        </is>
      </c>
    </row>
    <row r="18">
      <c r="A18" s="64" t="inlineStr">
        <is>
          <t>Energy chain mount on the right-hand 560 mm extrusion, upright (top) face, towards the back near the leg</t>
        </is>
      </c>
      <c r="B18" s="64" t="inlineStr">
        <is>
          <t>Countersunk screw M3 x 8</t>
        </is>
      </c>
      <c r="C18" s="64" t="n">
        <v>1</v>
      </c>
      <c r="D18" s="64" t="inlineStr">
        <is>
          <t>M3 spring-ball T-slot nut (KJN43719)</t>
        </is>
      </c>
      <c r="E18" s="64" t="n">
        <v>1</v>
      </c>
      <c r="F18" s="64" t="inlineStr">
        <is>
          <t>No</t>
        </is>
      </c>
      <c r="G18" s="64" t="inlineStr">
        <is>
          <t>7.03, 7.14</t>
        </is>
      </c>
      <c r="H18" s="64" t="inlineStr">
        <is>
          <t>Per Ed. The BOM has 2 x M3 x 8 countersunk for 'Y right': check whether the second belongs to the same bracket (the energy chain bracket, ECB, has no STL yet). Ed on 24 Oct: the M3 x 8 connects the energy chain to an M3 sliding nut on the extrusion along the base, Y side, bottom back near the power. Confirmed by Ed: the same single screw, not a second one.</t>
        </is>
      </c>
      <c r="I18" s="64" t="inlineStr">
        <is>
          <t>M3 x 8 countersunk</t>
        </is>
      </c>
      <c r="J18" s="64" t="inlineStr">
        <is>
          <t>M3 T-nut</t>
        </is>
      </c>
    </row>
    <row r="19">
      <c r="A19" s="64" t="inlineStr">
        <is>
          <t>X motor assembly (NEMA 17, toothed pulley, one toothed and one smooth idler), mounted on top of the leg section</t>
        </is>
      </c>
      <c r="B19" s="64" t="inlineStr">
        <is>
          <t>Countersunk screw M3 x 16</t>
        </is>
      </c>
      <c r="C19" s="64" t="n">
        <v>2</v>
      </c>
      <c r="D19" s="64" t="inlineStr">
        <is>
          <t>–</t>
        </is>
      </c>
      <c r="E19" s="64" t="n"/>
      <c r="F19" s="64" t="inlineStr">
        <is>
          <t>No</t>
        </is>
      </c>
      <c r="G19" s="64" t="inlineStr">
        <is>
          <t>7.05</t>
        </is>
      </c>
      <c r="H19" s="64" t="inlineStr">
        <is>
          <t>Per Ed (corrected from 8 to 16). This is the use of the M3 x 16 countersunk row added from your Allfix link.</t>
        </is>
      </c>
      <c r="I19" s="64" t="inlineStr">
        <is>
          <t>M3 x 16 countersunk</t>
        </is>
      </c>
      <c r="J19" s="64" t="n"/>
    </row>
    <row r="20">
      <c r="A20" s="64" t="inlineStr">
        <is>
          <t>X motor assembly (NEMA 17, toothed pulley, one toothed and one smooth idler), mounted on top of the leg section</t>
        </is>
      </c>
      <c r="B20" s="64" t="inlineStr">
        <is>
          <t>Countersunk screw M3 x 30</t>
        </is>
      </c>
      <c r="C20" s="64" t="n">
        <v>2</v>
      </c>
      <c r="D20" s="64" t="inlineStr">
        <is>
          <t>–</t>
        </is>
      </c>
      <c r="E20" s="64" t="n"/>
      <c r="F20" s="64" t="inlineStr">
        <is>
          <t>No</t>
        </is>
      </c>
      <c r="G20" s="64" t="inlineStr">
        <is>
          <t>7.07</t>
        </is>
      </c>
      <c r="H20" s="64" t="inlineStr">
        <is>
          <t>Per Ed (confirmed): the motor mount's M3 x 30 screws go through the plastic straight into the threaded holes in the motor. No nuts or inserts.</t>
        </is>
      </c>
      <c r="I20" s="64" t="inlineStr">
        <is>
          <t>M3 x 30 countersunk</t>
        </is>
      </c>
      <c r="J20" s="64" t="n"/>
    </row>
    <row r="21">
      <c r="A21" s="64" t="inlineStr">
        <is>
          <t>X motor assembly (NEMA 17, toothed pulley, one toothed and one smooth idler), mounted on top of the leg section</t>
        </is>
      </c>
      <c r="B21" s="64" t="inlineStr">
        <is>
          <t>Countersunk screw M5 x 8</t>
        </is>
      </c>
      <c r="C21" s="64" t="n">
        <v>3</v>
      </c>
      <c r="D21" s="64" t="inlineStr">
        <is>
          <t>M5 spring-ball T-slot nut (KJN37001)</t>
        </is>
      </c>
      <c r="E21" s="64" t="n">
        <v>3</v>
      </c>
      <c r="F21" s="64" t="inlineStr">
        <is>
          <t>No</t>
        </is>
      </c>
      <c r="G21" s="64" t="inlineStr">
        <is>
          <t>8.01, 8.07</t>
        </is>
      </c>
      <c r="H21" s="64" t="inlineStr">
        <is>
          <t>Per Ed.</t>
        </is>
      </c>
      <c r="I21" s="64" t="inlineStr">
        <is>
          <t>M5 x 8 countersunk</t>
        </is>
      </c>
      <c r="J21" s="64" t="inlineStr">
        <is>
          <t>M5 T-nut</t>
        </is>
      </c>
    </row>
    <row r="22">
      <c r="A22" s="64" t="inlineStr">
        <is>
          <t>X motor assembly (NEMA 17, toothed pulley, one toothed and one smooth idler), mounted on top of the leg section – corner cube</t>
        </is>
      </c>
      <c r="B22" s="64" t="inlineStr">
        <is>
          <t>Button head screw M5 x 12</t>
        </is>
      </c>
      <c r="C22" s="64" t="n">
        <v>2</v>
      </c>
      <c r="D22" s="64" t="inlineStr">
        <is>
          <t>–</t>
        </is>
      </c>
      <c r="E22" s="64" t="n"/>
      <c r="F22" s="64" t="inlineStr">
        <is>
          <t>No</t>
        </is>
      </c>
      <c r="G22" s="64" t="inlineStr">
        <is>
          <t>8.04 (new M5 x 12 button head row), 8.04</t>
        </is>
      </c>
      <c r="H22" s="64" t="inlineStr">
        <is>
          <t>Per Ed: 2 x M5 x 12 button head hold the corner cube. This is the use of the M5 x 12 button head row added from your Allfix link. The pulley's grub screws come with the pulley. Grub screws (about M3 x 4) come with the pulleys: confirmed by Ed.</t>
        </is>
      </c>
      <c r="I22" s="64" t="inlineStr">
        <is>
          <t>M5 x 12 button head</t>
        </is>
      </c>
      <c r="J22" s="64" t="n"/>
    </row>
    <row r="23">
      <c r="A23" s="64" t="inlineStr">
        <is>
          <t>Y motor assembly (same layout as the X motor)</t>
        </is>
      </c>
      <c r="B23" s="64" t="inlineStr">
        <is>
          <t>Countersunk screw M3 x 30</t>
        </is>
      </c>
      <c r="C23" s="64" t="n">
        <v>2</v>
      </c>
      <c r="D23" s="64" t="inlineStr">
        <is>
          <t>–</t>
        </is>
      </c>
      <c r="E23" s="64" t="n"/>
      <c r="F23" s="64" t="inlineStr">
        <is>
          <t>No</t>
        </is>
      </c>
      <c r="G23" s="64" t="inlineStr">
        <is>
          <t>7.07</t>
        </is>
      </c>
      <c r="H23" s="64" t="inlineStr">
        <is>
          <t>Per Ed (confirmed): screws go through the plastic into the threaded holes in the motor. No nuts or inserts.</t>
        </is>
      </c>
      <c r="I23" s="64" t="inlineStr">
        <is>
          <t>M3 x 30 countersunk</t>
        </is>
      </c>
      <c r="J23" s="64" t="n"/>
    </row>
    <row r="24">
      <c r="A24" s="64" t="inlineStr">
        <is>
          <t>Y motor assembly (same layout as the X motor)</t>
        </is>
      </c>
      <c r="B24" s="64" t="inlineStr">
        <is>
          <t>Countersunk screw M3 x 8</t>
        </is>
      </c>
      <c r="C24" s="64" t="n">
        <v>2</v>
      </c>
      <c r="D24" s="64" t="inlineStr">
        <is>
          <t>–</t>
        </is>
      </c>
      <c r="E24" s="64" t="n"/>
      <c r="F24" s="64" t="inlineStr">
        <is>
          <t>No</t>
        </is>
      </c>
      <c r="G24" s="64" t="inlineStr">
        <is>
          <t>7.03</t>
        </is>
      </c>
      <c r="H24" s="64" t="inlineStr">
        <is>
          <t>Per Ed.</t>
        </is>
      </c>
      <c r="I24" s="64" t="inlineStr">
        <is>
          <t>M3 x 8 countersunk</t>
        </is>
      </c>
      <c r="J24" s="64" t="n"/>
    </row>
    <row r="25">
      <c r="A25" s="64" t="inlineStr">
        <is>
          <t>Y motor assembly (same layout as the X motor)</t>
        </is>
      </c>
      <c r="B25" s="64" t="inlineStr">
        <is>
          <t>Countersunk screw M5 x 8</t>
        </is>
      </c>
      <c r="C25" s="64" t="n">
        <v>3</v>
      </c>
      <c r="D25" s="64" t="inlineStr">
        <is>
          <t>M5 spring-ball T-slot nut (KJN37001)</t>
        </is>
      </c>
      <c r="E25" s="64" t="n">
        <v>3</v>
      </c>
      <c r="F25" s="64" t="inlineStr">
        <is>
          <t>No</t>
        </is>
      </c>
      <c r="G25" s="64" t="inlineStr">
        <is>
          <t>8.01, 8.07</t>
        </is>
      </c>
      <c r="H25" s="64" t="inlineStr">
        <is>
          <t>Confirmed by Ed: the Y motor matches the X motor (3 x M5 x 8 with 3 nuts).</t>
        </is>
      </c>
      <c r="I25" s="64" t="inlineStr">
        <is>
          <t>M5 x 8 countersunk</t>
        </is>
      </c>
      <c r="J25" s="64" t="inlineStr">
        <is>
          <t>M5 T-nut</t>
        </is>
      </c>
    </row>
    <row r="26">
      <c r="A26" s="64" t="inlineStr">
        <is>
          <t>Y motor assembly (same layout as the X motor) – corner cube</t>
        </is>
      </c>
      <c r="B26" s="64" t="inlineStr">
        <is>
          <t>Button head screw M5 x 12</t>
        </is>
      </c>
      <c r="C26" s="64" t="n">
        <v>2</v>
      </c>
      <c r="D26" s="64" t="inlineStr">
        <is>
          <t>–</t>
        </is>
      </c>
      <c r="E26" s="64" t="n"/>
      <c r="F26" s="64" t="inlineStr">
        <is>
          <t>No</t>
        </is>
      </c>
      <c r="G26" s="64" t="inlineStr">
        <is>
          <t>8.04</t>
        </is>
      </c>
      <c r="H26" s="64" t="inlineStr">
        <is>
          <t>Confirmed by Ed: as the X motor.</t>
        </is>
      </c>
      <c r="I26" s="64" t="inlineStr">
        <is>
          <t>M5 x 12 button head</t>
        </is>
      </c>
      <c r="J26" s="64" t="n"/>
    </row>
    <row r="27">
      <c r="A27" s="64" t="inlineStr">
        <is>
          <t>X idler assembly (back corner; mirrored, same screws as the other side; corner cube + toothed idlers) – corner cube</t>
        </is>
      </c>
      <c r="B27" s="64" t="inlineStr">
        <is>
          <t>Button head screw M5 x 12</t>
        </is>
      </c>
      <c r="C27" s="64" t="n">
        <v>3</v>
      </c>
      <c r="D27" s="64" t="inlineStr">
        <is>
          <t>–</t>
        </is>
      </c>
      <c r="E27" s="64" t="n"/>
      <c r="F27" s="64" t="inlineStr">
        <is>
          <t>No</t>
        </is>
      </c>
      <c r="G27" s="64" t="inlineStr">
        <is>
          <t>8.04</t>
        </is>
      </c>
      <c r="H27" s="64" t="inlineStr">
        <is>
          <t>Confirmed by Ed, per side: the 3 M5 x 12 button head screws hold the corner cube and mount the plastic brackets to the extrusions.</t>
        </is>
      </c>
      <c r="I27" s="64" t="inlineStr">
        <is>
          <t>M5 x 12 button head</t>
        </is>
      </c>
      <c r="J27" s="64" t="n"/>
    </row>
    <row r="28">
      <c r="A28" s="64" t="inlineStr">
        <is>
          <t>X idler assembly (back corner; mirrored, same screws as the other side; corner cube + toothed idlers)</t>
        </is>
      </c>
      <c r="B28" s="64" t="inlineStr">
        <is>
          <t>Countersunk screw M5 x 8</t>
        </is>
      </c>
      <c r="C28" s="64" t="n">
        <v>4</v>
      </c>
      <c r="D28" s="64" t="inlineStr">
        <is>
          <t>M5 spring-ball T-slot nut (KJN37001)</t>
        </is>
      </c>
      <c r="E28" s="64" t="n">
        <v>4</v>
      </c>
      <c r="F28" s="64" t="inlineStr">
        <is>
          <t>No</t>
        </is>
      </c>
      <c r="G28" s="64" t="inlineStr">
        <is>
          <t>8.01, 8.07</t>
        </is>
      </c>
      <c r="H28" s="64" t="inlineStr">
        <is>
          <t>Confirmed by Ed, per side: 4 screws with 4 nuts.</t>
        </is>
      </c>
      <c r="I28" s="64" t="inlineStr">
        <is>
          <t>M5 x 8 countersunk</t>
        </is>
      </c>
      <c r="J28" s="64" t="inlineStr">
        <is>
          <t>M5 T-nut</t>
        </is>
      </c>
    </row>
    <row r="29">
      <c r="A29" s="64" t="inlineStr">
        <is>
          <t>X idler assembly (back corner; mirrored, same screws as the other side; corner cube + toothed idlers) – idler clamp, bolted from the underside</t>
        </is>
      </c>
      <c r="B29" s="64" t="inlineStr">
        <is>
          <t>Countersunk screw M5 x 20</t>
        </is>
      </c>
      <c r="C29" s="64" t="n">
        <v>1</v>
      </c>
      <c r="D29" s="64" t="inlineStr">
        <is>
          <t>– (threaded plastic)</t>
        </is>
      </c>
      <c r="E29" s="64" t="n"/>
      <c r="F29" s="64" t="inlineStr">
        <is>
          <t>No</t>
        </is>
      </c>
      <c r="G29" s="64" t="inlineStr">
        <is>
          <t>8.02</t>
        </is>
      </c>
      <c r="H29" s="64" t="inlineStr">
        <is>
          <t>Confirmed by Ed, per side: the 3 M5 x 12 button head screws hold the corner cube and mount the plastic brackets to the extrusions. Confirmed by Ed: 1 per side (not 2). Of the two idlers, one has its axle printed in place and the other uses this bolt as its axle. Total with the gantry's 4 = 6 M5 x 20 (Ed). Confirmed by Ed: it screws into a threaded plastic piece, so no nut.</t>
        </is>
      </c>
      <c r="I29" s="64" t="inlineStr">
        <is>
          <t>M5 x 20 countersunk</t>
        </is>
      </c>
      <c r="J29" s="64" t="n"/>
    </row>
    <row r="30">
      <c r="A30" s="64" t="inlineStr">
        <is>
          <t>Y idler assembly (back corner; mirrored, same screws as the other side; corner cube + toothed idlers) – corner cube</t>
        </is>
      </c>
      <c r="B30" s="64" t="inlineStr">
        <is>
          <t>Button head screw M5 x 12</t>
        </is>
      </c>
      <c r="C30" s="64" t="n">
        <v>3</v>
      </c>
      <c r="D30" s="64" t="inlineStr">
        <is>
          <t>–</t>
        </is>
      </c>
      <c r="E30" s="64" t="n"/>
      <c r="F30" s="64" t="inlineStr">
        <is>
          <t>No</t>
        </is>
      </c>
      <c r="G30" s="64" t="inlineStr">
        <is>
          <t>8.04</t>
        </is>
      </c>
      <c r="H30" s="64" t="inlineStr">
        <is>
          <t>Confirmed by Ed, per side: the 3 M5 x 12 button head screws hold the corner cube and mount the plastic brackets to the extrusions.</t>
        </is>
      </c>
      <c r="I30" s="64" t="inlineStr">
        <is>
          <t>M5 x 12 button head</t>
        </is>
      </c>
      <c r="J30" s="64" t="n"/>
    </row>
    <row r="31">
      <c r="A31" s="64" t="inlineStr">
        <is>
          <t>Y idler assembly (back corner; mirrored, same screws as the other side; corner cube + toothed idlers)</t>
        </is>
      </c>
      <c r="B31" s="64" t="inlineStr">
        <is>
          <t>Countersunk screw M5 x 8</t>
        </is>
      </c>
      <c r="C31" s="64" t="n">
        <v>4</v>
      </c>
      <c r="D31" s="64" t="inlineStr">
        <is>
          <t>M5 spring-ball T-slot nut (KJN37001)</t>
        </is>
      </c>
      <c r="E31" s="64" t="n">
        <v>4</v>
      </c>
      <c r="F31" s="64" t="inlineStr">
        <is>
          <t>No</t>
        </is>
      </c>
      <c r="G31" s="64" t="inlineStr">
        <is>
          <t>8.01, 8.07</t>
        </is>
      </c>
      <c r="H31" s="64" t="inlineStr">
        <is>
          <t>Confirmed by Ed, per side: 4 screws with 4 nuts.</t>
        </is>
      </c>
      <c r="I31" s="64" t="inlineStr">
        <is>
          <t>M5 x 8 countersunk</t>
        </is>
      </c>
      <c r="J31" s="64" t="inlineStr">
        <is>
          <t>M5 T-nut</t>
        </is>
      </c>
    </row>
    <row r="32">
      <c r="A32" s="64" t="inlineStr">
        <is>
          <t>Y idler assembly (back corner; mirrored, same screws as the other side; corner cube + toothed idlers) – idler clamp, bolted from the top side</t>
        </is>
      </c>
      <c r="B32" s="64" t="inlineStr">
        <is>
          <t>Countersunk screw M5 x 20</t>
        </is>
      </c>
      <c r="C32" s="64" t="n">
        <v>1</v>
      </c>
      <c r="D32" s="64" t="inlineStr">
        <is>
          <t>– (threaded plastic)</t>
        </is>
      </c>
      <c r="E32" s="64" t="n"/>
      <c r="F32" s="64" t="inlineStr">
        <is>
          <t>No</t>
        </is>
      </c>
      <c r="G32" s="64" t="inlineStr">
        <is>
          <t>8.02</t>
        </is>
      </c>
      <c r="H32" s="64" t="inlineStr">
        <is>
          <t>Confirmed by Ed, per side: the 3 M5 x 12 button head screws hold the corner cube and mount the plastic brackets to the extrusions. Confirmed by Ed: 1 per side (not 2). Of the two idlers, one has its axle printed in place and the other uses this bolt as its axle. Total with the gantry's 4 = 6 M5 x 20 (Ed). Confirmed by Ed: it screws into a threaded plastic piece, so no nut.</t>
        </is>
      </c>
      <c r="I32" s="64" t="inlineStr">
        <is>
          <t>M5 x 20 countersunk</t>
        </is>
      </c>
      <c r="J32" s="64" t="n"/>
    </row>
    <row r="33">
      <c r="A33" s="64" t="inlineStr">
        <is>
          <t>Y linear rail MGN9H (black) under the left-hand top extrusion</t>
        </is>
      </c>
      <c r="B33" s="64" t="inlineStr">
        <is>
          <t>Socket head (cap) screw M3 x 8</t>
        </is>
      </c>
      <c r="C33" s="64" t="n">
        <v>4</v>
      </c>
      <c r="D33" s="64" t="inlineStr">
        <is>
          <t>M3 spring-ball T-slot nut (KJN43719)</t>
        </is>
      </c>
      <c r="E33" s="64" t="n">
        <v>4</v>
      </c>
      <c r="F33" s="64" t="inlineStr">
        <is>
          <t>No</t>
        </is>
      </c>
      <c r="G33" s="64" t="inlineStr">
        <is>
          <t>7.12, 7.14</t>
        </is>
      </c>
      <c r="H33" s="64" t="inlineStr">
        <is>
          <t>Per Ed: only about 4 fixings per rail are needed, although the rail has more holes. 4 per side, 8 in total.</t>
        </is>
      </c>
      <c r="I33" s="64" t="inlineStr">
        <is>
          <t>M3 x 8 socket head</t>
        </is>
      </c>
      <c r="J33" s="64" t="inlineStr">
        <is>
          <t>M3 T-nut</t>
        </is>
      </c>
    </row>
    <row r="34">
      <c r="A34" s="64" t="inlineStr">
        <is>
          <t>Y linear rail MGN9H (black) under the right-hand top extrusion</t>
        </is>
      </c>
      <c r="B34" s="64" t="inlineStr">
        <is>
          <t>Socket head (cap) screw M3 x 8</t>
        </is>
      </c>
      <c r="C34" s="64" t="n">
        <v>4</v>
      </c>
      <c r="D34" s="64" t="inlineStr">
        <is>
          <t>M3 spring-ball T-slot nut (KJN43719)</t>
        </is>
      </c>
      <c r="E34" s="64" t="n">
        <v>4</v>
      </c>
      <c r="F34" s="64" t="inlineStr">
        <is>
          <t>No</t>
        </is>
      </c>
      <c r="G34" s="64" t="inlineStr">
        <is>
          <t>7.12, 7.14</t>
        </is>
      </c>
      <c r="H34" s="64" t="inlineStr">
        <is>
          <t>Per Ed: only about 4 fixings per rail are needed, although the rail has more holes. 4 per side, 8 in total.</t>
        </is>
      </c>
      <c r="I34" s="64" t="inlineStr">
        <is>
          <t>M3 x 8 socket head</t>
        </is>
      </c>
      <c r="J34" s="64" t="inlineStr">
        <is>
          <t>M3 T-nut</t>
        </is>
      </c>
    </row>
    <row r="35">
      <c r="A35" s="64" t="inlineStr">
        <is>
          <t>Gantry end, X side (Y homing arm side): MGN9H block, plate, idler block</t>
        </is>
      </c>
      <c r="B35" s="64" t="inlineStr">
        <is>
          <t>Countersunk screw M3 x 6</t>
        </is>
      </c>
      <c r="C35" s="64" t="n">
        <v>2</v>
      </c>
      <c r="D35" s="64" t="inlineStr">
        <is>
          <t>–</t>
        </is>
      </c>
      <c r="E35" s="64" t="n"/>
      <c r="F35" s="64" t="inlineStr">
        <is>
          <t>No</t>
        </is>
      </c>
      <c r="G35" s="64" t="inlineStr">
        <is>
          <t>7.02</t>
        </is>
      </c>
      <c r="H35" s="64" t="inlineStr">
        <is>
          <t>Per Ed: into the MGN9H block, fixing the plate.</t>
        </is>
      </c>
      <c r="I35" s="64" t="inlineStr">
        <is>
          <t>M3 x 6 countersunk</t>
        </is>
      </c>
      <c r="J35" s="64" t="n"/>
    </row>
    <row r="36">
      <c r="A36" s="64" t="inlineStr">
        <is>
          <t>Gantry end, X side (Y homing arm side): MGN9H block, plate, idler block – Y homing (endstop) arm bracket</t>
        </is>
      </c>
      <c r="B36" s="64" t="inlineStr">
        <is>
          <t>Countersunk screw M3 x 8</t>
        </is>
      </c>
      <c r="C36" s="64" t="n">
        <v>2</v>
      </c>
      <c r="D36" s="64" t="inlineStr">
        <is>
          <t>–</t>
        </is>
      </c>
      <c r="E36" s="64" t="n"/>
      <c r="F36" s="64" t="inlineStr">
        <is>
          <t>No</t>
        </is>
      </c>
      <c r="G36" s="64" t="inlineStr">
        <is>
          <t>7.03</t>
        </is>
      </c>
      <c r="H36" s="64" t="inlineStr">
        <is>
          <t>Confirmed by Ed: 2 on the X side (the Y homing arm); none on the Y side.</t>
        </is>
      </c>
      <c r="I36" s="64" t="inlineStr">
        <is>
          <t>M3 x 8 countersunk</t>
        </is>
      </c>
      <c r="J36" s="64" t="n"/>
    </row>
    <row r="37">
      <c r="A37" s="64" t="inlineStr">
        <is>
          <t>Gantry end, X side (Y homing arm side): MGN9H block, plate, idler block – idler block to the 710 mm X rail</t>
        </is>
      </c>
      <c r="B37" s="64" t="inlineStr">
        <is>
          <t>Countersunk screw M5 x 20</t>
        </is>
      </c>
      <c r="C37" s="64" t="n">
        <v>2</v>
      </c>
      <c r="D37" s="64" t="inlineStr">
        <is>
          <t>M5 spring-ball T-slot nut (KJN37001)</t>
        </is>
      </c>
      <c r="E37" s="64" t="n">
        <v>2</v>
      </c>
      <c r="F37" s="64" t="inlineStr">
        <is>
          <t>No</t>
        </is>
      </c>
      <c r="G37" s="64" t="inlineStr">
        <is>
          <t>8.02, 8.07</t>
        </is>
      </c>
      <c r="H37" s="64" t="inlineStr">
        <is>
          <t>Confirmed by Ed: 2 per side, separate from the idler axle/clamp bolt (1 per side). M5 x 20 total: 2 idler + 4 gantry = 6.</t>
        </is>
      </c>
      <c r="I37" s="64" t="inlineStr">
        <is>
          <t>M5 x 20 countersunk</t>
        </is>
      </c>
      <c r="J37" s="64" t="inlineStr">
        <is>
          <t>M5 T-nut</t>
        </is>
      </c>
    </row>
    <row r="38">
      <c r="A38" s="64" t="inlineStr">
        <is>
          <t>Gantry end, X side (Y homing arm side): MGN9H block, plate, idler block – top plate</t>
        </is>
      </c>
      <c r="B38" s="64" t="inlineStr">
        <is>
          <t>Countersunk screw M5 x 8</t>
        </is>
      </c>
      <c r="C38" s="64" t="n">
        <v>2</v>
      </c>
      <c r="D38" s="64" t="inlineStr">
        <is>
          <t>M5 spring-ball T-slot nut (KJN37001)</t>
        </is>
      </c>
      <c r="E38" s="64" t="n">
        <v>2</v>
      </c>
      <c r="F38" s="64" t="inlineStr">
        <is>
          <t>No</t>
        </is>
      </c>
      <c r="G38" s="64" t="inlineStr">
        <is>
          <t>8.01, 8.07</t>
        </is>
      </c>
      <c r="H38" s="64" t="inlineStr">
        <is>
          <t>Confirmed by Ed: countersunk. 2 per side into M5 sliding nuts on the top plate.</t>
        </is>
      </c>
      <c r="I38" s="64" t="inlineStr">
        <is>
          <t>M5 x 8 countersunk</t>
        </is>
      </c>
      <c r="J38" s="64" t="inlineStr">
        <is>
          <t>M5 T-nut</t>
        </is>
      </c>
    </row>
    <row r="39">
      <c r="A39" s="64" t="inlineStr">
        <is>
          <t>Gantry end, X side (Y homing arm side): MGN9H block, plate, idler block – clamp top to bottom</t>
        </is>
      </c>
      <c r="B39" s="64" t="inlineStr">
        <is>
          <t>Countersunk screw M3 x 8</t>
        </is>
      </c>
      <c r="C39" s="64" t="n">
        <v>1</v>
      </c>
      <c r="D39" s="64" t="inlineStr">
        <is>
          <t>–</t>
        </is>
      </c>
      <c r="E39" s="64" t="n"/>
      <c r="F39" s="64" t="inlineStr">
        <is>
          <t>No</t>
        </is>
      </c>
      <c r="G39" s="64" t="inlineStr">
        <is>
          <t>7.03</t>
        </is>
      </c>
      <c r="H39" s="64" t="inlineStr">
        <is>
          <t>Confirmed by Ed: 1 per side. With the homing arm's 2, the X side has 3 of these screws and the Y side has 1. Idlers: a smooth one at the front and a toothed one (rounded D-shape) facing the back.</t>
        </is>
      </c>
      <c r="I39" s="64" t="inlineStr">
        <is>
          <t>M3 x 8 countersunk</t>
        </is>
      </c>
      <c r="J39" s="64" t="n"/>
    </row>
    <row r="40">
      <c r="A40" s="64" t="inlineStr">
        <is>
          <t>Gantry end, Y side (no homing arm): MGN9H block, plate, idler block</t>
        </is>
      </c>
      <c r="B40" s="64" t="inlineStr">
        <is>
          <t>Countersunk screw M3 x 6</t>
        </is>
      </c>
      <c r="C40" s="64" t="n">
        <v>4</v>
      </c>
      <c r="D40" s="64" t="inlineStr">
        <is>
          <t>–</t>
        </is>
      </c>
      <c r="E40" s="64" t="n"/>
      <c r="F40" s="64" t="inlineStr">
        <is>
          <t>No</t>
        </is>
      </c>
      <c r="G40" s="64" t="inlineStr">
        <is>
          <t>7.02</t>
        </is>
      </c>
      <c r="H40" s="64" t="inlineStr">
        <is>
          <t>Per Ed: the Y side has 4 M3 x 6 countersunk on the block (no homing bracket).</t>
        </is>
      </c>
      <c r="I40" s="64" t="inlineStr">
        <is>
          <t>M3 x 6 countersunk</t>
        </is>
      </c>
      <c r="J40" s="64" t="n"/>
    </row>
    <row r="41">
      <c r="A41" s="64" t="inlineStr">
        <is>
          <t>Gantry end, Y side (no homing arm): MGN9H block, plate, idler block – idler block to the X rail</t>
        </is>
      </c>
      <c r="B41" s="64" t="inlineStr">
        <is>
          <t>Countersunk screw M5 x 20</t>
        </is>
      </c>
      <c r="C41" s="64" t="n">
        <v>2</v>
      </c>
      <c r="D41" s="64" t="inlineStr">
        <is>
          <t>M5 spring-ball T-slot nut (KJN37001)</t>
        </is>
      </c>
      <c r="E41" s="64" t="n">
        <v>2</v>
      </c>
      <c r="F41" s="64" t="inlineStr">
        <is>
          <t>No</t>
        </is>
      </c>
      <c r="G41" s="64" t="inlineStr">
        <is>
          <t>8.02, 8.07</t>
        </is>
      </c>
      <c r="H41" s="64" t="inlineStr">
        <is>
          <t>Confirmed by Ed: 2 per side, separate from the idler axle/clamp bolt (1 per side). M5 x 20 total: 2 idler + 4 gantry = 6.</t>
        </is>
      </c>
      <c r="I41" s="64" t="inlineStr">
        <is>
          <t>M5 x 20 countersunk</t>
        </is>
      </c>
      <c r="J41" s="64" t="inlineStr">
        <is>
          <t>M5 T-nut</t>
        </is>
      </c>
    </row>
    <row r="42">
      <c r="A42" s="64" t="inlineStr">
        <is>
          <t>Gantry end, Y side (no homing arm): MGN9H block, plate, idler block – top plate</t>
        </is>
      </c>
      <c r="B42" s="64" t="inlineStr">
        <is>
          <t>Countersunk screw M5 x 8</t>
        </is>
      </c>
      <c r="C42" s="64" t="n">
        <v>2</v>
      </c>
      <c r="D42" s="64" t="inlineStr">
        <is>
          <t>M5 spring-ball T-slot nut (KJN37001)</t>
        </is>
      </c>
      <c r="E42" s="64" t="n">
        <v>2</v>
      </c>
      <c r="F42" s="64" t="inlineStr">
        <is>
          <t>No</t>
        </is>
      </c>
      <c r="G42" s="64" t="inlineStr">
        <is>
          <t>8.01, 8.07</t>
        </is>
      </c>
      <c r="H42" s="64" t="inlineStr">
        <is>
          <t>Confirmed by Ed: countersunk. 2 per side into M5 sliding nuts on the top plate.</t>
        </is>
      </c>
      <c r="I42" s="64" t="inlineStr">
        <is>
          <t>M5 x 8 countersunk</t>
        </is>
      </c>
      <c r="J42" s="64" t="inlineStr">
        <is>
          <t>M5 T-nut</t>
        </is>
      </c>
    </row>
    <row r="43">
      <c r="A43" s="64" t="inlineStr">
        <is>
          <t>Gantry end, Y side (no homing arm): MGN9H block, plate, idler block – clamp top to bottom</t>
        </is>
      </c>
      <c r="B43" s="64" t="inlineStr">
        <is>
          <t>Countersunk screw M3 x 8</t>
        </is>
      </c>
      <c r="C43" s="64" t="n">
        <v>1</v>
      </c>
      <c r="D43" s="64" t="inlineStr">
        <is>
          <t>–</t>
        </is>
      </c>
      <c r="E43" s="64" t="n"/>
      <c r="F43" s="64" t="inlineStr">
        <is>
          <t>No</t>
        </is>
      </c>
      <c r="G43" s="64" t="inlineStr">
        <is>
          <t>7.03</t>
        </is>
      </c>
      <c r="H43" s="64" t="inlineStr">
        <is>
          <t>Confirmed by Ed: 1 per side. With the homing arm's 2, the X side has 3 of these screws and the Y side has 1. Idlers: a smooth one at the front and a toothed one (rounded D-shape) facing the back.</t>
        </is>
      </c>
      <c r="I43" s="64" t="inlineStr">
        <is>
          <t>M3 x 8 countersunk</t>
        </is>
      </c>
      <c r="J43" s="64" t="n"/>
    </row>
    <row r="44">
      <c r="A44" s="64" t="inlineStr">
        <is>
          <t>Gantry end, Y side – energy chain, on the underside where it connects to the bearing block</t>
        </is>
      </c>
      <c r="B44" s="64" t="inlineStr">
        <is>
          <t>Countersunk screw M3 x 5</t>
        </is>
      </c>
      <c r="C44" s="64" t="n">
        <v>2</v>
      </c>
      <c r="D44" s="64" t="inlineStr">
        <is>
          <t>–</t>
        </is>
      </c>
      <c r="E44" s="64" t="n"/>
      <c r="F44" s="64" t="inlineStr">
        <is>
          <t>No</t>
        </is>
      </c>
      <c r="G44" s="64" t="inlineStr">
        <is>
          <t>7.01</t>
        </is>
      </c>
      <c r="H44" s="64" t="inlineStr">
        <is>
          <t>Corrected by Ed: these are 2 x M3 x 5 countersunk (not M5). They separate from the 4 chain support screws. No M5 energy chain screws exist.</t>
        </is>
      </c>
      <c r="I44" s="64" t="inlineStr">
        <is>
          <t>M3 x 5 countersunk</t>
        </is>
      </c>
      <c r="J44" s="64" t="n"/>
    </row>
    <row r="45">
      <c r="A45" s="64" t="inlineStr">
        <is>
          <t>Gantry end, Y side (no homing arm): MGN9H block, plate, idler block – wiring</t>
        </is>
      </c>
      <c r="B45" s="64" t="inlineStr">
        <is>
          <t>Cable tie, black</t>
        </is>
      </c>
      <c r="C45" s="64" t="n">
        <v>1</v>
      </c>
      <c r="D45" s="64" t="inlineStr">
        <is>
          <t>–</t>
        </is>
      </c>
      <c r="E45" s="64" t="n"/>
      <c r="F45" s="64" t="inlineStr">
        <is>
          <t>No</t>
        </is>
      </c>
      <c r="G45" s="64" t="inlineStr">
        <is>
          <t>5.04</t>
        </is>
      </c>
      <c r="H45" s="64" t="inlineStr">
        <is>
          <t>Per Ed: a single black cable tie holds and organises the wiring.</t>
        </is>
      </c>
      <c r="I45" s="64" t="inlineStr">
        <is>
          <t>Cable tie, black</t>
        </is>
      </c>
      <c r="J45" s="64" t="n"/>
    </row>
    <row r="46">
      <c r="A46" s="64" t="inlineStr">
        <is>
          <t>Gantry (X rail): MGN9 linear rail</t>
        </is>
      </c>
      <c r="B46" s="64" t="inlineStr">
        <is>
          <t>Socket head (cap) screw M3 x 8</t>
        </is>
      </c>
      <c r="C46" s="64" t="n">
        <v>4</v>
      </c>
      <c r="D46" s="64" t="inlineStr">
        <is>
          <t>M3 spring-ball T-slot nut (KJN43719)</t>
        </is>
      </c>
      <c r="E46" s="64" t="n">
        <v>4</v>
      </c>
      <c r="F46" s="64" t="inlineStr">
        <is>
          <t>No</t>
        </is>
      </c>
      <c r="G46" s="64" t="inlineStr">
        <is>
          <t>7.12, 7.14</t>
        </is>
      </c>
      <c r="H46" s="64" t="inlineStr">
        <is>
          <t>Per Ed. Brings M3 x 8 socket head to 12 in total with the Y rails, matching the old BOM's 12.</t>
        </is>
      </c>
      <c r="I46" s="64" t="inlineStr">
        <is>
          <t>M3 x 8 socket head</t>
        </is>
      </c>
      <c r="J46" s="64" t="inlineStr">
        <is>
          <t>M3 T-nut</t>
        </is>
      </c>
    </row>
    <row r="47">
      <c r="A47" s="64" t="inlineStr">
        <is>
          <t>Gantry underside: energy chain anti-sag clips (also clips for the terapixel lights, work in progress)</t>
        </is>
      </c>
      <c r="B47" s="64" t="inlineStr">
        <is>
          <t>Countersunk screw M5 x 8</t>
        </is>
      </c>
      <c r="C47" s="64" t="n">
        <v>4</v>
      </c>
      <c r="D47" s="64" t="inlineStr">
        <is>
          <t>M5 spring-ball T-slot nut (KJN37001)</t>
        </is>
      </c>
      <c r="E47" s="64" t="n">
        <v>4</v>
      </c>
      <c r="F47" s="64" t="inlineStr">
        <is>
          <t>No</t>
        </is>
      </c>
      <c r="G47" s="64" t="inlineStr">
        <is>
          <t>8.01, 8.07</t>
        </is>
      </c>
      <c r="H47" s="64" t="inlineStr">
        <is>
          <t>Per Ed (confirmed): 4 CHAIN_SUPPORT prints on the underside of the gantry, each held by an M5 x 8 countersunk screw with an M5 sliding nut.</t>
        </is>
      </c>
      <c r="I47" s="64" t="inlineStr">
        <is>
          <t>M5 x 8 countersunk</t>
        </is>
      </c>
      <c r="J47" s="64" t="inlineStr">
        <is>
          <t>M5 T-nut</t>
        </is>
      </c>
    </row>
    <row r="48">
      <c r="A48" s="64" t="inlineStr">
        <is>
          <t>Belt clamp – heat-set insert (rear of the tool head)</t>
        </is>
      </c>
      <c r="B48" s="64" t="inlineStr">
        <is>
          <t>Heat-set insert M3 x 3 mm brass</t>
        </is>
      </c>
      <c r="C48" s="64" t="n">
        <v>1</v>
      </c>
      <c r="D48" s="64" t="inlineStr">
        <is>
          <t>–</t>
        </is>
      </c>
      <c r="E48" s="64" t="n"/>
      <c r="F48" s="64" t="inlineStr">
        <is>
          <t>No</t>
        </is>
      </c>
      <c r="G48" s="64" t="inlineStr">
        <is>
          <t>7.15</t>
        </is>
      </c>
      <c r="H48" s="64" t="inlineStr">
        <is>
          <t>Ed, 24 Oct: no inserts in the electronics tray after all; the only M3 insert is in the belt clamp, on the rear of the tool head.</t>
        </is>
      </c>
      <c r="I48" s="64" t="inlineStr">
        <is>
          <t>M3 heat-set insert</t>
        </is>
      </c>
      <c r="J48" s="64" t="n"/>
    </row>
    <row r="49">
      <c r="A49" s="64" t="inlineStr">
        <is>
          <t>Stepper tool head – carriage (stepper_tool_carriage.stl) onto the MGN9H block on the gantry</t>
        </is>
      </c>
      <c r="B49" s="64" t="inlineStr">
        <is>
          <t>Countersunk screw M3 x 6</t>
        </is>
      </c>
      <c r="C49" s="64" t="n">
        <v>4</v>
      </c>
      <c r="D49" s="64" t="inlineStr">
        <is>
          <t>–</t>
        </is>
      </c>
      <c r="E49" s="64" t="n"/>
      <c r="F49" s="64" t="inlineStr">
        <is>
          <t>No</t>
        </is>
      </c>
      <c r="G49" s="64" t="inlineStr">
        <is>
          <t>7.02</t>
        </is>
      </c>
      <c r="H49" s="64" t="inlineStr">
        <is>
          <t>Per Ed.</t>
        </is>
      </c>
      <c r="I49" s="64" t="inlineStr">
        <is>
          <t>M3 x 6 countersunk</t>
        </is>
      </c>
      <c r="J49" s="64" t="n"/>
    </row>
    <row r="50">
      <c r="A50" s="64" t="inlineStr">
        <is>
          <t>Stepper tool head – X optical endstop on the carriage</t>
        </is>
      </c>
      <c r="B50" s="64" t="inlineStr">
        <is>
          <t>Button head screw M3 x 6</t>
        </is>
      </c>
      <c r="C50" s="64" t="n">
        <v>2</v>
      </c>
      <c r="D50" s="64" t="inlineStr">
        <is>
          <t>–</t>
        </is>
      </c>
      <c r="E50" s="64" t="n"/>
      <c r="F50" s="64" t="inlineStr">
        <is>
          <t>No</t>
        </is>
      </c>
      <c r="G50" s="64" t="inlineStr">
        <is>
          <t>7.08</t>
        </is>
      </c>
      <c r="H50" s="64" t="inlineStr">
        <is>
          <t>Per Ed: M3 x 6 button head. Quantity of 2 assumed (same as the Y endstop): confirm.</t>
        </is>
      </c>
      <c r="I50" s="64" t="inlineStr">
        <is>
          <t>M3 x 6 button head</t>
        </is>
      </c>
      <c r="J50" s="64" t="n"/>
    </row>
    <row r="51">
      <c r="A51" s="64" t="inlineStr">
        <is>
          <t>Stepper tool head – energy chain attached to the top of the carriage</t>
        </is>
      </c>
      <c r="B51" s="64" t="inlineStr">
        <is>
          <t>Countersunk screw M3 x 5</t>
        </is>
      </c>
      <c r="C51" s="64" t="n">
        <v>2</v>
      </c>
      <c r="D51" s="64" t="inlineStr">
        <is>
          <t>–</t>
        </is>
      </c>
      <c r="E51" s="64" t="n"/>
      <c r="F51" s="64" t="inlineStr">
        <is>
          <t>No</t>
        </is>
      </c>
      <c r="G51" s="64" t="inlineStr">
        <is>
          <t>7.01</t>
        </is>
      </c>
      <c r="H51" s="64" t="inlineStr">
        <is>
          <t>Per Ed.</t>
        </is>
      </c>
      <c r="I51" s="64" t="inlineStr">
        <is>
          <t>M3 x 5 countersunk</t>
        </is>
      </c>
      <c r="J51" s="64" t="n"/>
    </row>
    <row r="52">
      <c r="A52" s="64" t="inlineStr">
        <is>
          <t>Stepper tool head – belt clamp (clamps the belt between two pieces)</t>
        </is>
      </c>
      <c r="B52" s="64" t="inlineStr">
        <is>
          <t>Countersunk screw M3 x 5</t>
        </is>
      </c>
      <c r="C52" s="64" t="n">
        <v>1</v>
      </c>
      <c r="D52" s="64" t="inlineStr">
        <is>
          <t>–</t>
        </is>
      </c>
      <c r="E52" s="64" t="n"/>
      <c r="F52" s="64" t="inlineStr">
        <is>
          <t>No</t>
        </is>
      </c>
      <c r="G52" s="64" t="inlineStr">
        <is>
          <t>7.01</t>
        </is>
      </c>
      <c r="H52" s="64" t="inlineStr">
        <is>
          <t>Per Ed: 'an M3 countersunk by 5'. Taken as 1 screw: confirm.</t>
        </is>
      </c>
      <c r="I52" s="64" t="inlineStr">
        <is>
          <t>M3 x 5 countersunk</t>
        </is>
      </c>
      <c r="J52" s="64" t="n"/>
    </row>
    <row r="53">
      <c r="A53" s="64" t="inlineStr">
        <is>
          <t>Stepper tool head – belt clamp fixed to the back of the head</t>
        </is>
      </c>
      <c r="B53" s="64" t="inlineStr">
        <is>
          <t>Countersunk screw M3 x 6</t>
        </is>
      </c>
      <c r="C53" s="64" t="n">
        <v>2</v>
      </c>
      <c r="D53" s="64" t="inlineStr">
        <is>
          <t>–</t>
        </is>
      </c>
      <c r="E53" s="64" t="n"/>
      <c r="F53" s="64" t="inlineStr">
        <is>
          <t>No</t>
        </is>
      </c>
      <c r="G53" s="64" t="inlineStr">
        <is>
          <t>7.02</t>
        </is>
      </c>
      <c r="H53" s="64" t="inlineStr">
        <is>
          <t>Per Ed.</t>
        </is>
      </c>
      <c r="I53" s="64" t="inlineStr">
        <is>
          <t>M3 x 6 countersunk</t>
        </is>
      </c>
      <c r="J53" s="64" t="n"/>
    </row>
    <row r="54">
      <c r="A54" s="64" t="inlineStr">
        <is>
          <t>Stepper tool head – tensioner</t>
        </is>
      </c>
      <c r="B54" s="64" t="inlineStr">
        <is>
          <t>Countersunk screw M3 x 6</t>
        </is>
      </c>
      <c r="C54" s="64" t="n">
        <v>2</v>
      </c>
      <c r="D54" s="64" t="inlineStr">
        <is>
          <t>–</t>
        </is>
      </c>
      <c r="E54" s="64" t="n"/>
      <c r="F54" s="64" t="inlineStr">
        <is>
          <t>No</t>
        </is>
      </c>
      <c r="G54" s="64" t="inlineStr">
        <is>
          <t>7.02</t>
        </is>
      </c>
      <c r="H54" s="64" t="inlineStr">
        <is>
          <t>Per Ed.</t>
        </is>
      </c>
      <c r="I54" s="64" t="inlineStr">
        <is>
          <t>M3 x 6 countersunk</t>
        </is>
      </c>
      <c r="J54" s="64" t="n"/>
    </row>
    <row r="55">
      <c r="A55" s="64" t="inlineStr">
        <is>
          <t>Stepper tool head – NEMA 14 motor to the carriage plate (Nema14mount2carriage.stl)</t>
        </is>
      </c>
      <c r="B55" s="64" t="inlineStr">
        <is>
          <t>Countersunk screw M3 x 8</t>
        </is>
      </c>
      <c r="C55" s="64" t="n">
        <v>4</v>
      </c>
      <c r="D55" s="64" t="inlineStr">
        <is>
          <t>–</t>
        </is>
      </c>
      <c r="E55" s="64" t="n"/>
      <c r="F55" s="64" t="inlineStr">
        <is>
          <t>No</t>
        </is>
      </c>
      <c r="G55" s="64" t="inlineStr">
        <is>
          <t>7.03</t>
        </is>
      </c>
      <c r="H55" s="64" t="inlineStr">
        <is>
          <t>Per Ed. What they thread into (the motor's tapped holes, presumably) is not noted.</t>
        </is>
      </c>
      <c r="I55" s="64" t="inlineStr">
        <is>
          <t>M3 x 8 countersunk</t>
        </is>
      </c>
      <c r="J55" s="64" t="n"/>
    </row>
    <row r="56">
      <c r="A56" s="64" t="inlineStr">
        <is>
          <t>Stepper tool head – extension spring holder, front of the plate, bottom left corner</t>
        </is>
      </c>
      <c r="B56" s="64" t="inlineStr">
        <is>
          <t>Socket head (cap) screw M3 x 8</t>
        </is>
      </c>
      <c r="C56" s="64" t="n">
        <v>1</v>
      </c>
      <c r="D56" s="64" t="inlineStr">
        <is>
          <t>None: into the plastic itself, or a heat-set insert if you use one</t>
        </is>
      </c>
      <c r="E56" s="64" t="n"/>
      <c r="F56" s="64" t="inlineStr">
        <is>
          <t>No</t>
        </is>
      </c>
      <c r="G56" s="64" t="inlineStr">
        <is>
          <t>7.12, 7.15, 9.04</t>
        </is>
      </c>
      <c r="H56" s="64" t="inlineStr">
        <is>
          <t>Per Ed: holds the 5.2 x 20.6 mm extension spring. Whether Ed uses an insert here is not stated: 'plastic itself, or an insert if you're using one'.</t>
        </is>
      </c>
      <c r="I56" s="64" t="inlineStr">
        <is>
          <t>M3 x 8 socket head</t>
        </is>
      </c>
      <c r="J56" s="64" t="n"/>
    </row>
    <row r="57">
      <c r="A57" s="64" t="inlineStr">
        <is>
          <t>Stepper tool head – 50 mm MGN7H rail and block on the plate</t>
        </is>
      </c>
      <c r="B57" s="64" t="inlineStr">
        <is>
          <t>Socket head (cap) screw M2 x 8</t>
        </is>
      </c>
      <c r="C57" s="64" t="n">
        <v>3</v>
      </c>
      <c r="D57" s="64" t="inlineStr">
        <is>
          <t>M2 heat-set insert in the plate</t>
        </is>
      </c>
      <c r="E57" s="64" t="n">
        <v>3</v>
      </c>
      <c r="F57" s="64" t="inlineStr">
        <is>
          <t>No</t>
        </is>
      </c>
      <c r="G57" s="64" t="inlineStr">
        <is>
          <t>6.02, 6.04</t>
        </is>
      </c>
      <c r="H57" s="64" t="inlineStr">
        <is>
          <t>Per Ed: 3 inserts on the plate itself, 3 screws.</t>
        </is>
      </c>
      <c r="I57" s="64" t="inlineStr">
        <is>
          <t>M2 x 8 socket head</t>
        </is>
      </c>
      <c r="J57" s="64" t="inlineStr">
        <is>
          <t>M2 heat-set insert</t>
        </is>
      </c>
    </row>
    <row r="58">
      <c r="A58" s="64" t="inlineStr">
        <is>
          <t>Stepper tool head – plate with MGN7H rail, mounted onto the tool head</t>
        </is>
      </c>
      <c r="B58" s="64" t="inlineStr">
        <is>
          <t>Countersunk screw M3 x 8</t>
        </is>
      </c>
      <c r="C58" s="64" t="n">
        <v>4</v>
      </c>
      <c r="D58" s="64" t="inlineStr">
        <is>
          <t>–</t>
        </is>
      </c>
      <c r="E58" s="64" t="n"/>
      <c r="F58" s="64" t="inlineStr">
        <is>
          <t>No</t>
        </is>
      </c>
      <c r="G58" s="64" t="inlineStr">
        <is>
          <t>7.03</t>
        </is>
      </c>
      <c r="H58" s="64" t="inlineStr">
        <is>
          <t>Per Ed. Separate from the 4 M3 x 8 that fix the NEMA 14 to the carriage plate.</t>
        </is>
      </c>
      <c r="I58" s="64" t="inlineStr">
        <is>
          <t>M3 x 8 countersunk</t>
        </is>
      </c>
      <c r="J58" s="64" t="n"/>
    </row>
    <row r="59">
      <c r="A59" s="64" t="inlineStr">
        <is>
          <t>Stepper tool head – pen holder onto the MGN7H block</t>
        </is>
      </c>
      <c r="B59" s="64" t="inlineStr">
        <is>
          <t>Socket head (cap) screw M2 x 8</t>
        </is>
      </c>
      <c r="C59" s="64" t="n">
        <v>4</v>
      </c>
      <c r="D59" s="64" t="inlineStr">
        <is>
          <t>–</t>
        </is>
      </c>
      <c r="E59" s="64" t="n"/>
      <c r="F59" s="64" t="inlineStr">
        <is>
          <t>No</t>
        </is>
      </c>
      <c r="G59" s="64" t="inlineStr">
        <is>
          <t>6.02</t>
        </is>
      </c>
      <c r="H59" s="64" t="inlineStr">
        <is>
          <t>Per Ed. Together with the 3 that fix the rail to the plate, M2 x 8 socket head comes to 7.</t>
        </is>
      </c>
      <c r="I59" s="64" t="inlineStr">
        <is>
          <t>M2 x 8 socket head</t>
        </is>
      </c>
      <c r="J59" s="64" t="n"/>
    </row>
    <row r="60">
      <c r="A60" s="64" t="inlineStr">
        <is>
          <t>Stepper tool head – spring, other end: rear of the pen holder, in a slot</t>
        </is>
      </c>
      <c r="B60" s="64" t="inlineStr">
        <is>
          <t>Socket head (cap) screw M3 x 8</t>
        </is>
      </c>
      <c r="C60" s="64" t="n">
        <v>1</v>
      </c>
      <c r="D60" s="64" t="inlineStr">
        <is>
          <t>M3 nyloc nut (A2 stainless, DIN 985), on the reverse side</t>
        </is>
      </c>
      <c r="E60" s="64" t="n">
        <v>1</v>
      </c>
      <c r="F60" s="64" t="inlineStr">
        <is>
          <t>No</t>
        </is>
      </c>
      <c r="G60" s="64" t="inlineStr">
        <is>
          <t>7.12, 7.13</t>
        </is>
      </c>
      <c r="H60" s="64" t="inlineStr">
        <is>
          <t>Per Ed: the screw sits in a slot with about 10 mm of travel, so the spring tension can be adjusted. Ed recommends mounting it at the bottom of the slot to begin with. The spring pulls the pen down towards the paper or bed.</t>
        </is>
      </c>
      <c r="I60" s="64" t="inlineStr">
        <is>
          <t>M3 x 8 socket head</t>
        </is>
      </c>
      <c r="J60" s="64" t="inlineStr">
        <is>
          <t>M3 nyloc nut</t>
        </is>
      </c>
    </row>
    <row r="61">
      <c r="A61" s="64" t="inlineStr">
        <is>
          <t>Stepper tool head – belt clamp on the pen holder (clamp bracket)</t>
        </is>
      </c>
      <c r="B61" s="64" t="inlineStr">
        <is>
          <t>Countersunk screw M3 x 5</t>
        </is>
      </c>
      <c r="C61" s="64" t="n">
        <v>1</v>
      </c>
      <c r="D61" s="64" t="inlineStr">
        <is>
          <t>–</t>
        </is>
      </c>
      <c r="E61" s="64" t="n"/>
      <c r="F61" s="64" t="inlineStr">
        <is>
          <t>No</t>
        </is>
      </c>
      <c r="G61" s="64" t="inlineStr">
        <is>
          <t>7.01</t>
        </is>
      </c>
      <c r="H61" s="64" t="inlineStr">
        <is>
          <t>Per Ed. Clamps about 30 mm of GT2 belt. 'An M3 countersunk by 5': taken as 1 screw: confirm.</t>
        </is>
      </c>
      <c r="I61" s="64" t="inlineStr">
        <is>
          <t>M3 x 5 countersunk</t>
        </is>
      </c>
      <c r="J61" s="64" t="n"/>
    </row>
    <row r="62">
      <c r="A62" s="64" t="inlineStr">
        <is>
          <t>Stepper tool head – belt pulley print (stepper belt pulley.stl) on the NEMA 14 shaft</t>
        </is>
      </c>
      <c r="B62" s="64" t="inlineStr">
        <is>
          <t>None mentioned</t>
        </is>
      </c>
      <c r="C62" s="64" t="n"/>
      <c r="D62" s="64" t="inlineStr">
        <is>
          <t>–</t>
        </is>
      </c>
      <c r="E62" s="64" t="n"/>
      <c r="F62" s="64" t="inlineStr">
        <is>
          <t>–</t>
        </is>
      </c>
      <c r="G62" s="64" t="inlineStr">
        <is>
          <t>10.37</t>
        </is>
      </c>
      <c r="H62" s="64" t="inlineStr">
        <is>
          <t>Per Ed: the belt end goes into the print, which slots onto the D-shaft. No screw was mentioned: confirm there is none.</t>
        </is>
      </c>
      <c r="I62" s="64" t="n"/>
      <c r="J62" s="64" t="n"/>
    </row>
    <row r="63">
      <c r="A63" s="64" t="inlineStr">
        <is>
          <t>Stepper tool head – pen clip assembly (pen clip block, latch and link)</t>
        </is>
      </c>
      <c r="B63" s="64" t="inlineStr">
        <is>
          <t>Countersunk screw M3 x 16</t>
        </is>
      </c>
      <c r="C63" s="64" t="n">
        <v>3</v>
      </c>
      <c r="D63" s="64" t="inlineStr">
        <is>
          <t>None: into the plastic</t>
        </is>
      </c>
      <c r="E63" s="64" t="n"/>
      <c r="F63" s="64" t="inlineStr">
        <is>
          <t>No</t>
        </is>
      </c>
      <c r="G63" s="64" t="inlineStr">
        <is>
          <t>7.05</t>
        </is>
      </c>
      <c r="H63" s="64" t="inlineStr">
        <is>
          <t>Per Ed: 3 screws hold the clip assembly together. They go into pre-threaded plastic, or you screw them in to cut the thread. No nuts or inserts.</t>
        </is>
      </c>
      <c r="I63" s="64" t="inlineStr">
        <is>
          <t>M3 x 16 countersunk</t>
        </is>
      </c>
      <c r="J63" s="64" t="n"/>
    </row>
    <row r="64">
      <c r="A64" s="64" t="inlineStr">
        <is>
          <t>Electronics enclosure – with the Z-axis add-on (stacked Z board)</t>
        </is>
      </c>
      <c r="B64" s="64" t="inlineStr">
        <is>
          <t>Button head screw M3 x 8 (replaces one of the board's M3 x 6)</t>
        </is>
      </c>
      <c r="C64" s="64" t="n">
        <v>1</v>
      </c>
      <c r="D64" s="64" t="inlineStr">
        <is>
          <t>–</t>
        </is>
      </c>
      <c r="E64" s="64" t="n"/>
      <c r="F64" s="64" t="inlineStr">
        <is>
          <t>No</t>
        </is>
      </c>
      <c r="G64" s="64" t="inlineStr">
        <is>
          <t>7.09</t>
        </is>
      </c>
      <c r="H64" s="64" t="inlineStr">
        <is>
          <t>Per Ed: the Z board is thick and stacks on the controller, so one of the 2 board button head screws is M3 x 8 instead of M3 x 6. Z add-on builds only.</t>
        </is>
      </c>
      <c r="I64" s="64" t="inlineStr">
        <is>
          <t>M3 x 8 button head (Z add-on only)</t>
        </is>
      </c>
      <c r="J64" s="64" t="n"/>
    </row>
    <row r="65">
      <c r="A65" s="64" t="inlineStr">
        <is>
          <t>Electronics enclosure – with the Z-axis add-on (stacked Z board)</t>
        </is>
      </c>
      <c r="B65" s="64" t="inlineStr">
        <is>
          <t>Standoff M3 x 16 mm, male-female</t>
        </is>
      </c>
      <c r="C65" s="64" t="n">
        <v>1</v>
      </c>
      <c r="D65" s="64" t="inlineStr">
        <is>
          <t>–</t>
        </is>
      </c>
      <c r="E65" s="64" t="n"/>
      <c r="F65" s="64" t="inlineStr">
        <is>
          <t>No</t>
        </is>
      </c>
      <c r="G65" s="64" t="inlineStr">
        <is>
          <t>4.16</t>
        </is>
      </c>
      <c r="H65" s="64" t="inlineStr">
        <is>
          <t>Per Ed: a 16 mm standoff is needed in addition to the 18 mm ones, because the Z board is thick. Ed: just 1.</t>
        </is>
      </c>
      <c r="I65" s="64" t="n"/>
      <c r="J65" s="64"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40" customWidth="1" min="1" max="1"/>
    <col width="24" customWidth="1" min="2" max="2"/>
    <col width="26" customWidth="1" min="3" max="3"/>
    <col width="80" customWidth="1" min="4" max="4"/>
  </cols>
  <sheetData>
    <row r="1">
      <c r="A1" s="63" t="inlineStr">
        <is>
          <t>Fixings totals – from the walk-through (the 'real' figures, work in progress)</t>
        </is>
      </c>
    </row>
    <row r="2">
      <c r="A2" t="inlineStr">
        <is>
          <t>Counted from 'Fixings by part' as the build is walked through bottom frame upwards. The old BOM fixing quantities are shown only for comparison and are replaced once the walk-through is finished.</t>
        </is>
      </c>
    </row>
    <row r="4">
      <c r="A4" s="9" t="inlineStr">
        <is>
          <t>Fixing</t>
        </is>
      </c>
      <c r="B4" s="10" t="inlineStr">
        <is>
          <t>Walk-through total so far</t>
        </is>
      </c>
      <c r="C4" s="10" t="inlineStr">
        <is>
          <t>Old BOM qty (for comparison)</t>
        </is>
      </c>
      <c r="D4" s="9" t="inlineStr">
        <is>
          <t>Notes</t>
        </is>
      </c>
    </row>
    <row r="5">
      <c r="A5" s="64" t="inlineStr">
        <is>
          <t>M3 x 16 button head (approx.)</t>
        </is>
      </c>
      <c r="B5" s="64">
        <f>SUMIF('Fixings by part'!$I:$I,A5,'Fixings by part'!$C:$C)</f>
        <v/>
      </c>
      <c r="C5" s="64" t="n">
        <v>4</v>
      </c>
      <c r="D5" s="64" t="inlineStr">
        <is>
          <t>Old BOM: M3 x 12 button head for the feet (7.10). Feet come with their screws.</t>
        </is>
      </c>
    </row>
    <row r="6">
      <c r="A6" s="64" t="inlineStr">
        <is>
          <t>M3 x 6 countersunk</t>
        </is>
      </c>
      <c r="B6" s="64">
        <f>SUMIF('Fixings by part'!$I:$I,A6,'Fixings by part'!$C:$C)</f>
        <v/>
      </c>
      <c r="C6" s="64" t="n">
        <v>21</v>
      </c>
      <c r="D6" s="64" t="inlineStr">
        <is>
          <t>Electronics cover (3) so far, plus the gantry blocks.</t>
        </is>
      </c>
    </row>
    <row r="7">
      <c r="A7" s="64" t="inlineStr">
        <is>
          <t>M3 x 6 button head</t>
        </is>
      </c>
      <c r="B7" s="64">
        <f>SUMIF('Fixings by part'!$I:$I,A7,'Fixings by part'!$C:$C)</f>
        <v/>
      </c>
      <c r="C7" s="64" t="n">
        <v>4</v>
      </c>
      <c r="D7" s="64" t="inlineStr">
        <is>
          <t>Controller board.</t>
        </is>
      </c>
    </row>
    <row r="8">
      <c r="A8" s="64" t="inlineStr">
        <is>
          <t>M3 standoff, male-female (about 18 mm)</t>
        </is>
      </c>
      <c r="B8" s="64">
        <f>SUMIF('Fixings by part'!$I:$I,A8,'Fixings by part'!$C:$C)</f>
        <v/>
      </c>
      <c r="C8" s="64" t="n">
        <v>2</v>
      </c>
      <c r="D8" s="64" t="inlineStr">
        <is>
          <t>Old BOM: nylon standoff M3 x 20.</t>
        </is>
      </c>
    </row>
    <row r="9">
      <c r="A9" s="64" t="inlineStr">
        <is>
          <t>M3 T-nut</t>
        </is>
      </c>
      <c r="B9" s="64">
        <f>SUMIF('Fixings by part'!$J:$J,A9,'Fixings by part'!$E:$E)</f>
        <v/>
      </c>
      <c r="C9" s="64" t="n">
        <v>16</v>
      </c>
      <c r="D9" s="64" t="inlineStr">
        <is>
          <t>Feet so far. You think about 13 in total.</t>
        </is>
      </c>
    </row>
    <row r="10">
      <c r="A10" s="64" t="inlineStr">
        <is>
          <t>M5 x 12 cap head</t>
        </is>
      </c>
      <c r="B10" s="64">
        <f>SUMIF('Fixings by part'!$I:$I,A10,'Fixings by part'!$C:$C)</f>
        <v/>
      </c>
      <c r="C10" s="64" t="n">
        <v>22</v>
      </c>
      <c r="D10" s="64" t="inlineStr">
        <is>
          <t>Bottom square 8 + legs 4 so far; top frame still to do.</t>
        </is>
      </c>
    </row>
    <row r="11">
      <c r="A11" s="64" t="inlineStr">
        <is>
          <t>M5 x 8 button head</t>
        </is>
      </c>
      <c r="B11" s="64">
        <f>SUMIF('Fixings by part'!$I:$I,A11,'Fixings by part'!$C:$C)</f>
        <v/>
      </c>
      <c r="C11" s="64" t="n">
        <v>6</v>
      </c>
      <c r="D11" s="64" t="inlineStr">
        <is>
          <t>L brackets 4 + electronics mount 2.</t>
        </is>
      </c>
    </row>
    <row r="12">
      <c r="A12" s="64" t="inlineStr">
        <is>
          <t>M5 x 8 countersunk</t>
        </is>
      </c>
      <c r="B12" s="64">
        <f>SUMIF('Fixings by part'!$I:$I,A12,'Fixings by part'!$C:$C)</f>
        <v/>
      </c>
      <c r="C12" s="64" t="n">
        <v>18</v>
      </c>
      <c r="D12" s="64" t="inlineStr">
        <is>
          <t>Includes the 4 chain support screws.</t>
        </is>
      </c>
    </row>
    <row r="13">
      <c r="A13" s="64" t="inlineStr">
        <is>
          <t>M5 T-nut</t>
        </is>
      </c>
      <c r="B13" s="64">
        <f>SUMIF('Fixings by part'!$J:$J,A13,'Fixings by part'!$E:$E)</f>
        <v/>
      </c>
      <c r="C13" s="64" t="n">
        <v>50</v>
      </c>
      <c r="D13" s="64" t="inlineStr">
        <is>
          <t>Placeholder 50 in the BOM.</t>
        </is>
      </c>
    </row>
    <row r="14">
      <c r="A14" s="64" t="inlineStr">
        <is>
          <t>M3 x 8 countersunk</t>
        </is>
      </c>
      <c r="B14" s="64">
        <f>SUMIF('Fixings by part'!$I:$I,A14,'Fixings by part'!$C:$C)</f>
        <v/>
      </c>
      <c r="C14" s="64" t="n">
        <v>2</v>
      </c>
      <c r="D14" s="64" t="inlineStr">
        <is>
          <t>Energy chain mount so far.</t>
        </is>
      </c>
    </row>
    <row r="15">
      <c r="A15" s="64" t="inlineStr">
        <is>
          <t>M3 x 30 countersunk</t>
        </is>
      </c>
      <c r="B15" s="64">
        <f>SUMIF('Fixings by part'!$I:$I,A15,'Fixings by part'!$C:$C)</f>
        <v/>
      </c>
      <c r="C15" s="64" t="n">
        <v>4</v>
      </c>
      <c r="D15" s="64" t="inlineStr">
        <is>
          <t>X motor so far (2 of 4).</t>
        </is>
      </c>
    </row>
    <row r="16">
      <c r="A16" s="64" t="inlineStr">
        <is>
          <t>M5 x 12 button head</t>
        </is>
      </c>
      <c r="B16" s="64">
        <f>SUMIF('Fixings by part'!$I:$I,A16,'Fixings by part'!$C:$C)</f>
        <v/>
      </c>
      <c r="C16" s="64" t="n"/>
      <c r="D16" s="64" t="inlineStr">
        <is>
          <t>Corner cube at the X motor so far.</t>
        </is>
      </c>
    </row>
    <row r="17">
      <c r="A17" s="64" t="inlineStr">
        <is>
          <t>M3 x 16 countersunk</t>
        </is>
      </c>
      <c r="B17" s="64">
        <f>SUMIF('Fixings by part'!$I:$I,A17,'Fixings by part'!$C:$C)</f>
        <v/>
      </c>
      <c r="C17" s="64" t="n"/>
      <c r="D17" s="64" t="inlineStr">
        <is>
          <t>X motor so far.</t>
        </is>
      </c>
    </row>
    <row r="18">
      <c r="A18" s="64" t="inlineStr">
        <is>
          <t>M5 x 20 countersunk</t>
        </is>
      </c>
      <c r="B18" s="64">
        <f>SUMIF('Fixings by part'!$I:$I,A18,'Fixings by part'!$C:$C)</f>
        <v/>
      </c>
      <c r="C18" s="64" t="n">
        <v>4</v>
      </c>
      <c r="D18" s="64" t="inlineStr">
        <is>
          <t>Idler bolts 2 + gantry 4 = 6 (Ed); the old BOM had 4.</t>
        </is>
      </c>
    </row>
    <row r="19">
      <c r="A19" s="64" t="inlineStr">
        <is>
          <t>M3 x 8 socket head</t>
        </is>
      </c>
      <c r="B19" s="64">
        <f>SUMIF('Fixings by part'!$I:$I,A19,'Fixings by part'!$C:$C)</f>
        <v/>
      </c>
      <c r="C19" s="64" t="n">
        <v>12</v>
      </c>
      <c r="D19" s="64" t="inlineStr">
        <is>
          <t>Y rails so far (8); the old 12 'frame – rails' probably includes 4 for the X rail.</t>
        </is>
      </c>
    </row>
    <row r="20">
      <c r="A20" s="64" t="inlineStr">
        <is>
          <t>Cable tie, black</t>
        </is>
      </c>
      <c r="B20" s="64">
        <f>SUMIF('Fixings by part'!$I:$I,A20,'Fixings by part'!$C:$C)</f>
        <v/>
      </c>
      <c r="C20" s="64" t="n"/>
      <c r="D20" s="64" t="inlineStr">
        <is>
          <t>Y-side wiring only so far.</t>
        </is>
      </c>
    </row>
    <row r="21">
      <c r="A21" s="64" t="inlineStr">
        <is>
          <t>M3 heat-set insert</t>
        </is>
      </c>
      <c r="B21" s="64">
        <f>SUMIF('Fixings by part'!$I:$I,A21,'Fixings by part'!$C:$C)</f>
        <v/>
      </c>
      <c r="C21" s="64" t="n">
        <v>26</v>
      </c>
      <c r="D21" s="64" t="inlineStr">
        <is>
          <t>Electronics tray so far (5). The old BOM had 26 for all printed parts, a pack of 50 at £5.90.</t>
        </is>
      </c>
    </row>
    <row r="22">
      <c r="A22" s="64" t="inlineStr">
        <is>
          <t>M3 x 5 countersunk</t>
        </is>
      </c>
      <c r="B22" s="64">
        <f>SUMIF('Fixings by part'!$I:$I,A22,'Fixings by part'!$C:$C)</f>
        <v/>
      </c>
      <c r="C22" s="64" t="n">
        <v>11</v>
      </c>
      <c r="D22" s="64" t="inlineStr">
        <is>
          <t>Y gantry underside (energy chain) so far.</t>
        </is>
      </c>
    </row>
    <row r="23">
      <c r="A23" s="64" t="inlineStr">
        <is>
          <t>M2 x 8 socket head</t>
        </is>
      </c>
      <c r="B23" s="64">
        <f>SUMIF('Fixings by part'!$I:$I,A23,'Fixings by part'!$C:$C)</f>
        <v/>
      </c>
      <c r="C23" s="64" t="n"/>
      <c r="D23" s="64" t="inlineStr">
        <is>
          <t>MGN7H rail 3 + pen holder 4 so far.</t>
        </is>
      </c>
    </row>
    <row r="24">
      <c r="A24" s="64" t="inlineStr">
        <is>
          <t>M2 heat-set insert</t>
        </is>
      </c>
      <c r="B24" s="64">
        <f>SUMIF('Fixings by part'!$J:$J,A24,'Fixings by part'!$E:$E)</f>
        <v/>
      </c>
      <c r="C24" s="64" t="n">
        <v>4</v>
      </c>
      <c r="D24" s="64" t="inlineStr">
        <is>
          <t>Plate inserts so far.</t>
        </is>
      </c>
    </row>
    <row r="25">
      <c r="A25" s="64" t="inlineStr">
        <is>
          <t>M3 nyloc nut</t>
        </is>
      </c>
      <c r="B25" s="64">
        <f>SUMIF('Fixings by part'!$J:$J,A25,'Fixings by part'!$E:$E)</f>
        <v/>
      </c>
      <c r="C25" s="64" t="n">
        <v>2</v>
      </c>
      <c r="D25" s="64" t="inlineStr">
        <is>
          <t>Z tool head: spring so far (1).</t>
        </is>
      </c>
    </row>
    <row r="26">
      <c r="A26" s="64" t="inlineStr">
        <is>
          <t>M3 x 8 button head (Z add-on only)</t>
        </is>
      </c>
      <c r="B26" s="64">
        <f>SUMIF('Fixings by part'!$I:$I,A26,'Fixings by part'!$C:$C)</f>
        <v/>
      </c>
      <c r="C26" s="64" t="n"/>
      <c r="D26" s="64" t="inlineStr">
        <is>
          <t>Z add-on builds only.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9"/>
  <sheetViews>
    <sheetView showGridLines="0" workbookViewId="0">
      <selection activeCell="A1" sqref="A1"/>
    </sheetView>
  </sheetViews>
  <sheetFormatPr baseColWidth="8" defaultRowHeight="15"/>
  <cols>
    <col width="14" customWidth="1" min="1" max="1"/>
    <col width="7" customWidth="1" min="2" max="2"/>
    <col width="10" customWidth="1" min="3" max="3"/>
    <col width="24" customWidth="1" min="4" max="4"/>
    <col width="12" customWidth="1" min="5" max="5"/>
    <col width="16" customWidth="1" min="6" max="6"/>
    <col width="18" customWidth="1" min="7" max="7"/>
    <col width="44" customWidth="1" min="8" max="8"/>
    <col width="40" customWidth="1" min="9" max="9"/>
  </cols>
  <sheetData>
    <row r="1">
      <c r="A1" s="1" t="inlineStr">
        <is>
          <t>Cable leads</t>
        </is>
      </c>
    </row>
    <row r="2">
      <c r="A2" s="40" t="inlineStr">
        <is>
          <t>Cut and strip details for each lead. Also the source for the build documentation.</t>
        </is>
      </c>
    </row>
    <row r="4">
      <c r="A4" s="25" t="inlineStr">
        <is>
          <t>Lead</t>
        </is>
      </c>
      <c r="B4" s="25" t="inlineStr">
        <is>
          <t>Cores</t>
        </is>
      </c>
      <c r="C4" s="25" t="inlineStr">
        <is>
          <t>AWG</t>
        </is>
      </c>
      <c r="D4" s="25" t="inlineStr">
        <is>
          <t>Sheath</t>
        </is>
      </c>
      <c r="E4" s="25" t="inlineStr">
        <is>
          <t>Length (mm)</t>
        </is>
      </c>
      <c r="F4" s="25" t="inlineStr">
        <is>
          <t>Strip at motor end (mm)</t>
        </is>
      </c>
      <c r="G4" s="25" t="inlineStr">
        <is>
          <t>Strip at controller end (mm)</t>
        </is>
      </c>
      <c r="H4" s="25" t="inlineStr">
        <is>
          <t>Connectors</t>
        </is>
      </c>
      <c r="I4" s="25" t="inlineStr">
        <is>
          <t>Notes</t>
        </is>
      </c>
    </row>
    <row r="5">
      <c r="A5" s="26" t="inlineStr">
        <is>
          <t>Y motor</t>
        </is>
      </c>
      <c r="B5" s="26" t="n">
        <v>4</v>
      </c>
      <c r="C5" s="26" t="n">
        <v>24</v>
      </c>
      <c r="D5" s="26" t="inlineStr">
        <is>
          <t>PVC, flexible, unshielded</t>
        </is>
      </c>
      <c r="E5" s="26" t="n">
        <v>515</v>
      </c>
      <c r="F5" s="26" t="inlineStr">
        <is>
          <t>27-30</t>
        </is>
      </c>
      <c r="G5" s="26" t="inlineStr">
        <is>
          <t>17-20</t>
        </is>
      </c>
      <c r="H5" s="26" t="inlineStr">
        <is>
          <t>Controller end: JST PH 2.0 4-way. Motor end: JST PH 2.0 6-way, cores in positions 1, 3, 4 and 6 (2 and 5 empty).</t>
        </is>
      </c>
      <c r="I5" s="26" t="inlineStr">
        <is>
          <t>Shielded cable is tricky for this lead because it needs to flex. Core colours on your cable: yellow, blue, green, red (varies by supplier). Colour-to-pin mapping still to document.</t>
        </is>
      </c>
    </row>
    <row r="6">
      <c r="A6" s="26" t="inlineStr">
        <is>
          <t>X motor</t>
        </is>
      </c>
      <c r="B6" s="26" t="n">
        <v>4</v>
      </c>
      <c r="C6" s="26" t="n">
        <v>24</v>
      </c>
      <c r="D6" s="26" t="inlineStr">
        <is>
          <t>PVC, flexible, unshielded</t>
        </is>
      </c>
      <c r="E6" s="26" t="n">
        <v>920</v>
      </c>
      <c r="F6" s="26" t="inlineStr">
        <is>
          <t>27-30</t>
        </is>
      </c>
      <c r="G6" s="26" t="inlineStr">
        <is>
          <t>17-20</t>
        </is>
      </c>
      <c r="H6" s="26" t="inlineStr">
        <is>
          <t>Controller end: JST PH 2.0 4-way. Motor end: JST PH 2.0 6-way, cores in positions 1, 3, 4 and 6 (2 and 5 empty).</t>
        </is>
      </c>
      <c r="I6" s="26" t="inlineStr">
        <is>
          <t>Same as the Y lead except for length. Core colours on your cable: yellow, blue, green, red (varies by supplier). Colour-to-pin mapping still to document.</t>
        </is>
      </c>
    </row>
    <row r="7">
      <c r="A7" s="62" t="inlineStr">
        <is>
          <t>X endstop</t>
        </is>
      </c>
      <c r="B7" s="62" t="inlineStr">
        <is>
          <t>3 x single core</t>
        </is>
      </c>
      <c r="C7" s="62" t="n">
        <v>26</v>
      </c>
      <c r="D7" s="62" t="inlineStr">
        <is>
          <t>None: 3 loose single cores (Alpha Wire 3049 BK001), colour-taped at both ends</t>
        </is>
      </c>
      <c r="E7" s="62" t="n">
        <v>2100</v>
      </c>
      <c r="F7" s="62" t="inlineStr">
        <is>
          <t>to confirm</t>
        </is>
      </c>
      <c r="G7" s="62" t="inlineStr">
        <is>
          <t>to confirm</t>
        </is>
      </c>
      <c r="H7" s="62" t="inlineStr">
        <is>
          <t>Female JST SM on the wire (pitch to confirm; JST SM is normally 2.5 mm) plugs into the male on the endstop module. Controller end: JST PH 2.0 3-way (assumed).</t>
        </is>
      </c>
      <c r="I7" s="62" t="inlineStr">
        <is>
          <t>POLARITY: match the lead's wire order to the board header and the module pins (module is SIG / GND / VCC). Runs through the 7 x 7 energy chain, hence single cores. Same length as the Z lead. Pin order on both ends still to document.</t>
        </is>
      </c>
    </row>
    <row r="8">
      <c r="A8" s="62" t="inlineStr">
        <is>
          <t>Y endstop</t>
        </is>
      </c>
      <c r="B8" s="62" t="n">
        <v>3</v>
      </c>
      <c r="C8" s="62" t="inlineStr">
        <is>
          <t>26 (confirm)</t>
        </is>
      </c>
      <c r="D8" s="62" t="inlineStr">
        <is>
          <t>PVC</t>
        </is>
      </c>
      <c r="E8" s="62" t="n">
        <v>920</v>
      </c>
      <c r="F8" s="62" t="inlineStr">
        <is>
          <t>to confirm</t>
        </is>
      </c>
      <c r="G8" s="62" t="inlineStr">
        <is>
          <t>to confirm</t>
        </is>
      </c>
      <c r="H8" s="62" t="inlineStr">
        <is>
          <t>Female JST SM on the wire (pitch to confirm; JST SM is normally 2.5 mm) plugs into the male on the endstop module. Controller end: JST PH 2.0 3-way (assumed).</t>
        </is>
      </c>
      <c r="I8" s="62" t="inlineStr">
        <is>
          <t>POLARITY: match the lead's wire order to the board header and the module pins (module is SIG / GND / VCC). Same length as the X motor lead (920 mm), where it is housed next to the motor. Sheathed 3-core assumed since it doesn't go through the energy chain; confirm.</t>
        </is>
      </c>
    </row>
    <row r="9">
      <c r="A9" s="26" t="inlineStr">
        <is>
          <t>Z motor</t>
        </is>
      </c>
      <c r="B9" s="26" t="inlineStr">
        <is>
          <t>4 x single core</t>
        </is>
      </c>
      <c r="C9" s="26" t="n">
        <v>26</v>
      </c>
      <c r="D9" s="26" t="inlineStr">
        <is>
          <t>None: 4 loose single cores (Alpha Wire 3049 BK001, black PVC, tinned copper), colour-taped at both ends</t>
        </is>
      </c>
      <c r="E9" s="26" t="n">
        <v>2100</v>
      </c>
      <c r="F9" s="26" t="inlineStr">
        <is>
          <t>–</t>
        </is>
      </c>
      <c r="G9" s="26" t="inlineStr">
        <is>
          <t>–</t>
        </is>
      </c>
      <c r="H9" s="26" t="inlineStr">
        <is>
          <t>Motor end: female JST SM, mating with a male JST SM fitted to the NEMA 14's lead (cut to 30-40 mm from the motor). Controller end: white JST PH 2.0 4-way, pins 1 to 4 all used.</t>
        </is>
      </c>
      <c r="I9" s="26" t="inlineStr">
        <is>
          <t>Runs through the 7 x 7 energy chain, hence single cores. Tape a thin strip of a different colour on both ends of each wire (e.g. red on both ends of one, green on both ends of another). 2100 mm leaves a little slack.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2026-10-06T18:30:31Z</dcterms:created>
  <dcterms:modified xmlns:dcterms="http://purl.org/dc/terms/" xmlns:xsi="http://www.w3.org/2001/XMLSchema-instance" xsi:type="dcterms:W3CDTF">2026-10-24T22:05:42Z</dcterms:modified>
</cp:coreProperties>
</file>