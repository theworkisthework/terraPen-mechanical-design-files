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Audit" sheetId="2" state="visible" r:id="rId2"/>
    <sheet xmlns:r="http://schemas.openxmlformats.org/officeDocument/2006/relationships" name="Printed parts" sheetId="3" state="visible" r:id="rId3"/>
  </sheets>
  <definedNames>
    <definedName name="_xlnm.Print_Titles" localSheetId="0">'BOM'!$5:$5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2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4B5563"/>
      <sz val="9"/>
    </font>
    <font>
      <name val="Arial"/>
      <b val="1"/>
      <color rgb="00111827"/>
      <sz val="9"/>
    </font>
    <font>
      <name val="Arial"/>
      <color rgb="00111827"/>
      <sz val="9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color rgb="000B5FFF"/>
      <sz val="10"/>
      <u val="single"/>
    </font>
    <font>
      <name val="Arial"/>
      <color rgb="00111827"/>
      <sz val="10"/>
    </font>
    <font>
      <name val="Arial"/>
      <b val="1"/>
      <color rgb="00111827"/>
      <sz val="10"/>
    </font>
    <font>
      <name val="Arial"/>
      <b val="1"/>
      <color rgb="001F2937"/>
      <sz val="12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7F5EC"/>
      </patternFill>
    </fill>
    <fill>
      <patternFill patternType="solid">
        <fgColor rgb="00FFF4D6"/>
      </patternFill>
    </fill>
    <fill>
      <patternFill patternType="solid">
        <fgColor rgb="00FDE2E2"/>
      </patternFill>
    </fill>
    <fill>
      <patternFill patternType="solid">
        <fgColor rgb="00FFE8CC"/>
      </patternFill>
    </fill>
    <fill>
      <patternFill patternType="solid">
        <fgColor rgb="00E5E7EB"/>
      </patternFill>
    </fill>
    <fill>
      <patternFill patternType="solid">
        <fgColor rgb="001F2937"/>
      </patternFill>
    </fill>
    <fill>
      <patternFill patternType="solid">
        <fgColor rgb="00D1D5DB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8" borderId="0" pivotButton="0" quotePrefix="0" xfId="0"/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164" fontId="8" fillId="0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9" fillId="0" borderId="0" pivotButton="0" quotePrefix="0" xfId="0"/>
    <xf numFmtId="164" fontId="9" fillId="0" borderId="0" pivotButton="0" quotePrefix="0" xfId="0"/>
    <xf numFmtId="0" fontId="2" fillId="0" borderId="0" pivotButton="0" quotePrefix="0" xfId="0"/>
    <xf numFmtId="0" fontId="5" fillId="7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10" fillId="0" borderId="0" pivotButton="0" quotePrefix="0" xfId="0"/>
    <xf numFmtId="0" fontId="8" fillId="0" borderId="0" pivotButton="0" quotePrefix="0" xfId="0"/>
    <xf numFmtId="0" fontId="5" fillId="7" borderId="0" pivotButton="0" quotePrefix="0" xfId="0"/>
    <xf numFmtId="0" fontId="11" fillId="2" borderId="0" applyAlignment="1" pivotButton="0" quotePrefix="0" xfId="0">
      <alignment horizontal="left"/>
    </xf>
    <xf numFmtId="0" fontId="11" fillId="3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11" fillId="4" borderId="0" applyAlignment="1" pivotButton="0" quotePrefix="0" xfId="0">
      <alignment horizontal="left"/>
    </xf>
    <xf numFmtId="0" fontId="11" fillId="5" borderId="0" applyAlignment="1" pivotButton="0" quotePrefix="0" xfId="0">
      <alignment horizontal="left"/>
    </xf>
    <xf numFmtId="0" fontId="11" fillId="6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oznest.co.uk/20x20mm-t-v-slot-aluminium-extrusion-profile-black-cut-to-size" TargetMode="External" Id="rId1"/><Relationship Type="http://schemas.openxmlformats.org/officeDocument/2006/relationships/hyperlink" Target="https://www.ebay.co.uk/sch/i.html?_nkw=2020+T+slot+aluminium+extrusion+760mm+cut+to+length" TargetMode="External" Id="rId2"/><Relationship Type="http://schemas.openxmlformats.org/officeDocument/2006/relationships/hyperlink" Target="https://www.amazon.co.uk/s?k=2020+T+slot+aluminium+extrusion+760mm+cut+to+length" TargetMode="External" Id="rId3"/><Relationship Type="http://schemas.openxmlformats.org/officeDocument/2006/relationships/hyperlink" Target="https://www.aliexpress.com/wholesale?SearchText=2020+T+slot+aluminium+extrusion+760mm+cut+to+length" TargetMode="External" Id="rId4"/><Relationship Type="http://schemas.openxmlformats.org/officeDocument/2006/relationships/hyperlink" Target="https://ooznest.co.uk/20x20mm-t-v-slot-aluminium-extrusion-profile-black-cut-to-size" TargetMode="External" Id="rId5"/><Relationship Type="http://schemas.openxmlformats.org/officeDocument/2006/relationships/hyperlink" Target="https://www.ebay.co.uk/sch/i.html?_nkw=2020+T+slot+aluminium+extrusion+560mm+cut+to+length" TargetMode="External" Id="rId6"/><Relationship Type="http://schemas.openxmlformats.org/officeDocument/2006/relationships/hyperlink" Target="https://www.amazon.co.uk/s?k=2020+T+slot+aluminium+extrusion+560mm+cut+to+length" TargetMode="External" Id="rId7"/><Relationship Type="http://schemas.openxmlformats.org/officeDocument/2006/relationships/hyperlink" Target="https://www.aliexpress.com/wholesale?SearchText=2020+T+slot+aluminium+extrusion+560mm+cut+to+length" TargetMode="External" Id="rId8"/><Relationship Type="http://schemas.openxmlformats.org/officeDocument/2006/relationships/hyperlink" Target="https://ooznest.co.uk/20x20mm-t-v-slot-aluminium-extrusion-profile-black-cut-to-size" TargetMode="External" Id="rId9"/><Relationship Type="http://schemas.openxmlformats.org/officeDocument/2006/relationships/hyperlink" Target="https://www.ebay.co.uk/sch/i.html?_nkw=2020+T+slot+aluminium+extrusion+710mm+cut+to+length" TargetMode="External" Id="rId10"/><Relationship Type="http://schemas.openxmlformats.org/officeDocument/2006/relationships/hyperlink" Target="https://www.amazon.co.uk/s?k=2020+T+slot+aluminium+extrusion+710mm+cut+to+length" TargetMode="External" Id="rId11"/><Relationship Type="http://schemas.openxmlformats.org/officeDocument/2006/relationships/hyperlink" Target="https://www.aliexpress.com/wholesale?SearchText=2020+T+slot+aluminium+extrusion+710mm+cut+to+length" TargetMode="External" Id="rId12"/><Relationship Type="http://schemas.openxmlformats.org/officeDocument/2006/relationships/hyperlink" Target="https://ooznest.co.uk/20x20mm-t-v-slot-aluminium-extrusion-profile-black-cut-to-size" TargetMode="External" Id="rId13"/><Relationship Type="http://schemas.openxmlformats.org/officeDocument/2006/relationships/hyperlink" Target="https://www.ebay.co.uk/sch/i.html?_nkw=2020+T+slot+aluminium+extrusion+45mm+cut" TargetMode="External" Id="rId14"/><Relationship Type="http://schemas.openxmlformats.org/officeDocument/2006/relationships/hyperlink" Target="https://www.amazon.co.uk/s?k=2020+T+slot+aluminium+extrusion+45mm+cut" TargetMode="External" Id="rId15"/><Relationship Type="http://schemas.openxmlformats.org/officeDocument/2006/relationships/hyperlink" Target="https://www.aliexpress.com/wholesale?SearchText=2020+T+slot+aluminium+extrusion+45mm+cut" TargetMode="External" Id="rId16"/><Relationship Type="http://schemas.openxmlformats.org/officeDocument/2006/relationships/hyperlink" Target="https://resources.ooznest.co.uk/aluminium-extrusion-system/connectors/cube-corner-brackets/3-way-cube-corner-brackets/3-way-20-series-cube-corner-bracket-var-ccb-20-3" TargetMode="External" Id="rId17"/><Relationship Type="http://schemas.openxmlformats.org/officeDocument/2006/relationships/hyperlink" Target="https://www.ebay.co.uk/sch/i.html?_nkw=2020+3+way+corner+cube+connector+aluminium+profile" TargetMode="External" Id="rId18"/><Relationship Type="http://schemas.openxmlformats.org/officeDocument/2006/relationships/hyperlink" Target="https://www.amazon.co.uk/s?k=2020+3+way+corner+cube+connector+aluminium+profile" TargetMode="External" Id="rId19"/><Relationship Type="http://schemas.openxmlformats.org/officeDocument/2006/relationships/hyperlink" Target="https://www.aliexpress.com/wholesale?SearchText=2020+3+way+corner+cube+connector+aluminium+profile" TargetMode="External" Id="rId20"/><Relationship Type="http://schemas.openxmlformats.org/officeDocument/2006/relationships/hyperlink" Target="https://www.ebay.co.uk/sch/i.html?_nkw=2020+aluminium+profile+90+degree+corner+bracket+L" TargetMode="External" Id="rId21"/><Relationship Type="http://schemas.openxmlformats.org/officeDocument/2006/relationships/hyperlink" Target="https://www.amazon.co.uk/s?k=2020+aluminium+profile+90+degree+corner+bracket+L" TargetMode="External" Id="rId22"/><Relationship Type="http://schemas.openxmlformats.org/officeDocument/2006/relationships/hyperlink" Target="https://www.aliexpress.com/wholesale?SearchText=2020+aluminium+profile+90+degree+corner+bracket+L" TargetMode="External" Id="rId23"/><Relationship Type="http://schemas.openxmlformats.org/officeDocument/2006/relationships/hyperlink" Target="https://www.ebay.co.uk/sch/i.html?_nkw=rubber+feet+20mm+diameter+15mm+high+M5" TargetMode="External" Id="rId24"/><Relationship Type="http://schemas.openxmlformats.org/officeDocument/2006/relationships/hyperlink" Target="https://www.amazon.co.uk/s?k=rubber+feet+20mm+diameter+15mm+high+M5" TargetMode="External" Id="rId25"/><Relationship Type="http://schemas.openxmlformats.org/officeDocument/2006/relationships/hyperlink" Target="https://www.aliexpress.com/wholesale?SearchText=rubber+feet+20mm+diameter+15mm+high+M5" TargetMode="External" Id="rId26"/><Relationship Type="http://schemas.openxmlformats.org/officeDocument/2006/relationships/hyperlink" Target="https://sheetmaterialswholesale.co.uk/12mm-ekopine-structural-pine-plywood-c-c-ce2-2440mm-x-1220mm-8%e2%80%b2-x-4%e2%80%b2" TargetMode="External" Id="rId27"/><Relationship Type="http://schemas.openxmlformats.org/officeDocument/2006/relationships/hyperlink" Target="https://www.ebay.co.uk/sch/i.html?_nkw=12mm+plywood+cut+to+size+800x600" TargetMode="External" Id="rId28"/><Relationship Type="http://schemas.openxmlformats.org/officeDocument/2006/relationships/hyperlink" Target="https://www.amazon.co.uk/s?k=12mm+plywood+cut+to+size+800x600" TargetMode="External" Id="rId29"/><Relationship Type="http://schemas.openxmlformats.org/officeDocument/2006/relationships/hyperlink" Target="https://www.aliexpress.com/wholesale?SearchText=12mm+plywood+cut+to+size+800x600" TargetMode="External" Id="rId30"/><Relationship Type="http://schemas.openxmlformats.org/officeDocument/2006/relationships/hyperlink" Target="https://www.ebay.co.uk/sch/i.html?_nkw=dibond+aluminium+composite+sheet+3mm+cut+to+size" TargetMode="External" Id="rId31"/><Relationship Type="http://schemas.openxmlformats.org/officeDocument/2006/relationships/hyperlink" Target="https://www.amazon.co.uk/s?k=dibond+aluminium+composite+sheet+3mm+cut+to+size" TargetMode="External" Id="rId32"/><Relationship Type="http://schemas.openxmlformats.org/officeDocument/2006/relationships/hyperlink" Target="https://www.aliexpress.com/wholesale?SearchText=dibond+aluminium+composite+sheet+3mm+cut+to+size" TargetMode="External" Id="rId33"/><Relationship Type="http://schemas.openxmlformats.org/officeDocument/2006/relationships/hyperlink" Target="https://www.ebay.co.uk/sch/i.html?_nkw=MGN9H+linear+rail+540mm+with+carriage" TargetMode="External" Id="rId34"/><Relationship Type="http://schemas.openxmlformats.org/officeDocument/2006/relationships/hyperlink" Target="https://www.amazon.co.uk/s?k=MGN9H+linear+rail+540mm+with+carriage" TargetMode="External" Id="rId35"/><Relationship Type="http://schemas.openxmlformats.org/officeDocument/2006/relationships/hyperlink" Target="https://www.aliexpress.com/wholesale?SearchText=MGN9H+linear+rail+540mm+with+carriage" TargetMode="External" Id="rId36"/><Relationship Type="http://schemas.openxmlformats.org/officeDocument/2006/relationships/hyperlink" Target="https://www.ebay.co.uk/sch/i.html?_nkw=MGN9H+linear+rail+710mm+with+carriage" TargetMode="External" Id="rId37"/><Relationship Type="http://schemas.openxmlformats.org/officeDocument/2006/relationships/hyperlink" Target="https://www.amazon.co.uk/s?k=MGN9H+linear+rail+710mm+with+carriage" TargetMode="External" Id="rId38"/><Relationship Type="http://schemas.openxmlformats.org/officeDocument/2006/relationships/hyperlink" Target="https://www.aliexpress.com/wholesale?SearchText=MGN9H+linear+rail+710mm+with+carriage" TargetMode="External" Id="rId39"/><Relationship Type="http://schemas.openxmlformats.org/officeDocument/2006/relationships/hyperlink" Target="https://www.ebay.co.uk/sch/i.html?_nkw=MGN7H+50mm+linear+rail+with+carriage+block" TargetMode="External" Id="rId40"/><Relationship Type="http://schemas.openxmlformats.org/officeDocument/2006/relationships/hyperlink" Target="https://www.amazon.co.uk/s?k=MGN7H+50mm+linear+rail+with+carriage+block" TargetMode="External" Id="rId41"/><Relationship Type="http://schemas.openxmlformats.org/officeDocument/2006/relationships/hyperlink" Target="https://www.aliexpress.com/wholesale?SearchText=MGN7H+50mm+linear+rail+with+carriage+block" TargetMode="External" Id="rId42"/><Relationship Type="http://schemas.openxmlformats.org/officeDocument/2006/relationships/hyperlink" Target="https://ooznest.co.uk/product/gt2-open-timing-belt-per-metre/" TargetMode="External" Id="rId43"/><Relationship Type="http://schemas.openxmlformats.org/officeDocument/2006/relationships/hyperlink" Target="https://www.ebay.co.uk/sch/i.html?_nkw=GT2+timing+belt+6mm+open+3m" TargetMode="External" Id="rId44"/><Relationship Type="http://schemas.openxmlformats.org/officeDocument/2006/relationships/hyperlink" Target="https://www.amazon.co.uk/s?k=GT2+timing+belt+6mm+open+3m" TargetMode="External" Id="rId45"/><Relationship Type="http://schemas.openxmlformats.org/officeDocument/2006/relationships/hyperlink" Target="https://www.aliexpress.com/wholesale?SearchText=GT2+timing+belt+6mm+open+3m" TargetMode="External" Id="rId46"/><Relationship Type="http://schemas.openxmlformats.org/officeDocument/2006/relationships/hyperlink" Target="https://www.ebay.co.uk/sch/i.html?_nkw=GT2+20+tooth+pulley+5mm+bore+6mm+belt" TargetMode="External" Id="rId47"/><Relationship Type="http://schemas.openxmlformats.org/officeDocument/2006/relationships/hyperlink" Target="https://www.amazon.co.uk/s?k=GT2+20+tooth+pulley+5mm+bore+6mm+belt" TargetMode="External" Id="rId48"/><Relationship Type="http://schemas.openxmlformats.org/officeDocument/2006/relationships/hyperlink" Target="https://www.aliexpress.com/wholesale?SearchText=GT2+20+tooth+pulley+5mm+bore+6mm+belt" TargetMode="External" Id="rId49"/><Relationship Type="http://schemas.openxmlformats.org/officeDocument/2006/relationships/hyperlink" Target="https://www.ebay.co.uk/sch/i.html?_nkw=GT2+20T+smooth+idler+pulley+5mm+bore+6mm+belt" TargetMode="External" Id="rId50"/><Relationship Type="http://schemas.openxmlformats.org/officeDocument/2006/relationships/hyperlink" Target="https://www.amazon.co.uk/s?k=GT2+20T+smooth+idler+pulley+5mm+bore+6mm+belt" TargetMode="External" Id="rId51"/><Relationship Type="http://schemas.openxmlformats.org/officeDocument/2006/relationships/hyperlink" Target="https://www.aliexpress.com/wholesale?SearchText=GT2+20T+smooth+idler+pulley+5mm+bore+6mm+belt" TargetMode="External" Id="rId52"/><Relationship Type="http://schemas.openxmlformats.org/officeDocument/2006/relationships/hyperlink" Target="https://www.ebay.co.uk/sch/i.html?_nkw=GT2+20T+toothed+idler+pulley+5mm+bore+6mm+belt+with+bearing" TargetMode="External" Id="rId53"/><Relationship Type="http://schemas.openxmlformats.org/officeDocument/2006/relationships/hyperlink" Target="https://www.amazon.co.uk/s?k=GT2+20T+toothed+idler+pulley+5mm+bore+6mm+belt+with+bearing" TargetMode="External" Id="rId54"/><Relationship Type="http://schemas.openxmlformats.org/officeDocument/2006/relationships/hyperlink" Target="https://www.aliexpress.com/wholesale?SearchText=GT2+20T+toothed+idler+pulley+5mm+bore+6mm+belt+with+bearing" TargetMode="External" Id="rId55"/><Relationship Type="http://schemas.openxmlformats.org/officeDocument/2006/relationships/hyperlink" Target="https://www.pololu.com/product/2267" TargetMode="External" Id="rId56"/><Relationship Type="http://schemas.openxmlformats.org/officeDocument/2006/relationships/hyperlink" Target="https://www.ebay.co.uk/sch/i.html?_nkw=NEMA+17+stepper+1.7A+42x42x38+bipolar" TargetMode="External" Id="rId57"/><Relationship Type="http://schemas.openxmlformats.org/officeDocument/2006/relationships/hyperlink" Target="https://www.amazon.co.uk/s?k=NEMA+17+stepper+1.7A+42x42x38+bipolar" TargetMode="External" Id="rId58"/><Relationship Type="http://schemas.openxmlformats.org/officeDocument/2006/relationships/hyperlink" Target="https://www.aliexpress.com/wholesale?SearchText=NEMA+17+stepper+1.7A+42x42x38+bipolar" TargetMode="External" Id="rId59"/><Relationship Type="http://schemas.openxmlformats.org/officeDocument/2006/relationships/hyperlink" Target="https://uk.rs-online.com/web/p/linear-solenoids/1770116" TargetMode="External" Id="rId60"/><Relationship Type="http://schemas.openxmlformats.org/officeDocument/2006/relationships/hyperlink" Target="https://www.ebay.co.uk/sch/i.html?_nkw=RS+PRO+linear+solenoid+12V+177-0116" TargetMode="External" Id="rId61"/><Relationship Type="http://schemas.openxmlformats.org/officeDocument/2006/relationships/hyperlink" Target="https://www.amazon.co.uk/s?k=RS+PRO+linear+solenoid+12V+177-0116" TargetMode="External" Id="rId62"/><Relationship Type="http://schemas.openxmlformats.org/officeDocument/2006/relationships/hyperlink" Target="https://www.aliexpress.com/wholesale?SearchText=RS+PRO+linear+solenoid+12V+177-0116" TargetMode="External" Id="rId63"/><Relationship Type="http://schemas.openxmlformats.org/officeDocument/2006/relationships/hyperlink" Target="https://www.ebay.co.uk/sch/i.html?_nkw=microSD+card+8GB+SanDisk" TargetMode="External" Id="rId64"/><Relationship Type="http://schemas.openxmlformats.org/officeDocument/2006/relationships/hyperlink" Target="https://www.amazon.co.uk/s?k=microSD+card+8GB+SanDisk" TargetMode="External" Id="rId65"/><Relationship Type="http://schemas.openxmlformats.org/officeDocument/2006/relationships/hyperlink" Target="https://www.aliexpress.com/wholesale?SearchText=microSD+card+8GB+SanDisk" TargetMode="External" Id="rId66"/><Relationship Type="http://schemas.openxmlformats.org/officeDocument/2006/relationships/hyperlink" Target="https://www.ebay.co.uk/sch/i.html?_nkw=12V+2A+power+supply+5.5x2.1mm+UK+plug" TargetMode="External" Id="rId67"/><Relationship Type="http://schemas.openxmlformats.org/officeDocument/2006/relationships/hyperlink" Target="https://www.amazon.co.uk/s?k=12V+2A+power+supply+5.5x2.1mm+UK+plug" TargetMode="External" Id="rId68"/><Relationship Type="http://schemas.openxmlformats.org/officeDocument/2006/relationships/hyperlink" Target="https://www.aliexpress.com/wholesale?SearchText=12V+2A+power+supply+5.5x2.1mm+UK+plug" TargetMode="External" Id="rId69"/><Relationship Type="http://schemas.openxmlformats.org/officeDocument/2006/relationships/hyperlink" Target="https://www.ebay.co.uk/sch/i.html?_nkw=JST+PH+2.0+4+pin+cable+750mm" TargetMode="External" Id="rId70"/><Relationship Type="http://schemas.openxmlformats.org/officeDocument/2006/relationships/hyperlink" Target="https://www.amazon.co.uk/s?k=JST+PH+2.0+4+pin+cable+750mm" TargetMode="External" Id="rId71"/><Relationship Type="http://schemas.openxmlformats.org/officeDocument/2006/relationships/hyperlink" Target="https://www.aliexpress.com/wholesale?SearchText=JST+PH+2.0+4+pin+cable+750mm" TargetMode="External" Id="rId72"/><Relationship Type="http://schemas.openxmlformats.org/officeDocument/2006/relationships/hyperlink" Target="https://www.ebay.co.uk/sch/i.html?_nkw=JST+PH+2.0+4+pin+cable+500mm" TargetMode="External" Id="rId73"/><Relationship Type="http://schemas.openxmlformats.org/officeDocument/2006/relationships/hyperlink" Target="https://www.amazon.co.uk/s?k=JST+PH+2.0+4+pin+cable+500mm" TargetMode="External" Id="rId74"/><Relationship Type="http://schemas.openxmlformats.org/officeDocument/2006/relationships/hyperlink" Target="https://www.aliexpress.com/wholesale?SearchText=JST+PH+2.0+4+pin+cable+500mm" TargetMode="External" Id="rId75"/><Relationship Type="http://schemas.openxmlformats.org/officeDocument/2006/relationships/hyperlink" Target="https://www.ebay.co.uk/sch/i.html?_nkw=JST+PH+2.0+3+pin+cable+1100mm" TargetMode="External" Id="rId76"/><Relationship Type="http://schemas.openxmlformats.org/officeDocument/2006/relationships/hyperlink" Target="https://www.amazon.co.uk/s?k=JST+PH+2.0+3+pin+cable+1100mm" TargetMode="External" Id="rId77"/><Relationship Type="http://schemas.openxmlformats.org/officeDocument/2006/relationships/hyperlink" Target="https://www.aliexpress.com/wholesale?SearchText=JST+PH+2.0+3+pin+cable+1100mm" TargetMode="External" Id="rId78"/><Relationship Type="http://schemas.openxmlformats.org/officeDocument/2006/relationships/hyperlink" Target="https://www.ebay.co.uk/sch/i.html?_nkw=optical+endstop+switch+module+3D+printer" TargetMode="External" Id="rId79"/><Relationship Type="http://schemas.openxmlformats.org/officeDocument/2006/relationships/hyperlink" Target="https://www.amazon.co.uk/s?k=optical+endstop+switch+module+3D+printer" TargetMode="External" Id="rId80"/><Relationship Type="http://schemas.openxmlformats.org/officeDocument/2006/relationships/hyperlink" Target="https://www.aliexpress.com/wholesale?SearchText=optical+endstop+switch+module+3D+printer" TargetMode="External" Id="rId81"/><Relationship Type="http://schemas.openxmlformats.org/officeDocument/2006/relationships/hyperlink" Target="https://www.ebay.co.uk/sch/i.html?_nkw=nylon+M3+standoff+20mm" TargetMode="External" Id="rId82"/><Relationship Type="http://schemas.openxmlformats.org/officeDocument/2006/relationships/hyperlink" Target="https://www.amazon.co.uk/s?k=nylon+M3+standoff+20mm" TargetMode="External" Id="rId83"/><Relationship Type="http://schemas.openxmlformats.org/officeDocument/2006/relationships/hyperlink" Target="https://www.aliexpress.com/wholesale?SearchText=nylon+M3+standoff+20mm" TargetMode="External" Id="rId84"/><Relationship Type="http://schemas.openxmlformats.org/officeDocument/2006/relationships/hyperlink" Target="https://thepihut.com/products/7x7-cable-chain-1m" TargetMode="External" Id="rId85"/><Relationship Type="http://schemas.openxmlformats.org/officeDocument/2006/relationships/hyperlink" Target="https://www.ebay.co.uk/sch/i.html?_nkw=7x7+cable+drag+chain+1m" TargetMode="External" Id="rId86"/><Relationship Type="http://schemas.openxmlformats.org/officeDocument/2006/relationships/hyperlink" Target="https://www.amazon.co.uk/s?k=7x7+cable+drag+chain+1m" TargetMode="External" Id="rId87"/><Relationship Type="http://schemas.openxmlformats.org/officeDocument/2006/relationships/hyperlink" Target="https://www.aliexpress.com/wholesale?SearchText=7x7+cable+drag+chain+1m" TargetMode="External" Id="rId88"/><Relationship Type="http://schemas.openxmlformats.org/officeDocument/2006/relationships/hyperlink" Target="https://www.ebay.co.uk/sch/i.html?_nkw=cable+ties+100mm+x+2.5mm" TargetMode="External" Id="rId89"/><Relationship Type="http://schemas.openxmlformats.org/officeDocument/2006/relationships/hyperlink" Target="https://www.amazon.co.uk/s?k=cable+ties+100mm+x+2.5mm" TargetMode="External" Id="rId90"/><Relationship Type="http://schemas.openxmlformats.org/officeDocument/2006/relationships/hyperlink" Target="https://www.aliexpress.com/wholesale?SearchText=cable+ties+100mm+x+2.5mm" TargetMode="External" Id="rId91"/><Relationship Type="http://schemas.openxmlformats.org/officeDocument/2006/relationships/hyperlink" Target="https://www.ebay.co.uk/sch/i.html?_nkw=hex+key+set+1.5+2+2.5+3+4mm" TargetMode="External" Id="rId92"/><Relationship Type="http://schemas.openxmlformats.org/officeDocument/2006/relationships/hyperlink" Target="https://www.amazon.co.uk/s?k=hex+key+set+1.5+2+2.5+3+4mm" TargetMode="External" Id="rId93"/><Relationship Type="http://schemas.openxmlformats.org/officeDocument/2006/relationships/hyperlink" Target="https://www.aliexpress.com/wholesale?SearchText=hex+key+set+1.5+2+2.5+3+4mm" TargetMode="External" Id="rId94"/><Relationship Type="http://schemas.openxmlformats.org/officeDocument/2006/relationships/hyperlink" Target="https://www.ebay.co.uk/sch/i.html?_nkw=M2x5+socket+head+cap+screw+A2+stainless" TargetMode="External" Id="rId95"/><Relationship Type="http://schemas.openxmlformats.org/officeDocument/2006/relationships/hyperlink" Target="https://www.amazon.co.uk/s?k=M2x5+socket+head+cap+screw+A2+stainless" TargetMode="External" Id="rId96"/><Relationship Type="http://schemas.openxmlformats.org/officeDocument/2006/relationships/hyperlink" Target="https://www.aliexpress.com/wholesale?SearchText=M2x5+socket+head+cap+screw+A2+stainless" TargetMode="External" Id="rId97"/><Relationship Type="http://schemas.openxmlformats.org/officeDocument/2006/relationships/hyperlink" Target="https://www.ebay.co.uk/sch/i.html?_nkw=M2x6+countersunk+screw+A2+stainless" TargetMode="External" Id="rId98"/><Relationship Type="http://schemas.openxmlformats.org/officeDocument/2006/relationships/hyperlink" Target="https://www.amazon.co.uk/s?k=M2x6+countersunk+screw+A2+stainless" TargetMode="External" Id="rId99"/><Relationship Type="http://schemas.openxmlformats.org/officeDocument/2006/relationships/hyperlink" Target="https://www.aliexpress.com/wholesale?SearchText=M2x6+countersunk+screw+A2+stainless" TargetMode="External" Id="rId100"/><Relationship Type="http://schemas.openxmlformats.org/officeDocument/2006/relationships/hyperlink" Target="https://www.ebay.co.uk/sch/i.html?_nkw=M2+heat+set+threaded+insert+brass" TargetMode="External" Id="rId101"/><Relationship Type="http://schemas.openxmlformats.org/officeDocument/2006/relationships/hyperlink" Target="https://www.amazon.co.uk/s?k=M2+heat+set+threaded+insert+brass" TargetMode="External" Id="rId102"/><Relationship Type="http://schemas.openxmlformats.org/officeDocument/2006/relationships/hyperlink" Target="https://www.aliexpress.com/wholesale?SearchText=M2+heat+set+threaded+insert+brass" TargetMode="External" Id="rId103"/><Relationship Type="http://schemas.openxmlformats.org/officeDocument/2006/relationships/hyperlink" Target="https://www.ebay.co.uk/sch/i.html?_nkw=M3x5+countersunk+screw+A2+stainless" TargetMode="External" Id="rId104"/><Relationship Type="http://schemas.openxmlformats.org/officeDocument/2006/relationships/hyperlink" Target="https://www.amazon.co.uk/s?k=M3x5+countersunk+screw+A2+stainless" TargetMode="External" Id="rId105"/><Relationship Type="http://schemas.openxmlformats.org/officeDocument/2006/relationships/hyperlink" Target="https://www.aliexpress.com/wholesale?SearchText=M3x5+countersunk+screw+A2+stainless" TargetMode="External" Id="rId106"/><Relationship Type="http://schemas.openxmlformats.org/officeDocument/2006/relationships/hyperlink" Target="https://www.ebay.co.uk/sch/i.html?_nkw=M3x6+countersunk+screw+A2+stainless" TargetMode="External" Id="rId107"/><Relationship Type="http://schemas.openxmlformats.org/officeDocument/2006/relationships/hyperlink" Target="https://www.amazon.co.uk/s?k=M3x6+countersunk+screw+A2+stainless" TargetMode="External" Id="rId108"/><Relationship Type="http://schemas.openxmlformats.org/officeDocument/2006/relationships/hyperlink" Target="https://www.aliexpress.com/wholesale?SearchText=M3x6+countersunk+screw+A2+stainless" TargetMode="External" Id="rId109"/><Relationship Type="http://schemas.openxmlformats.org/officeDocument/2006/relationships/hyperlink" Target="https://www.ebay.co.uk/sch/i.html?_nkw=M3x8+countersunk+screw+A2+stainless" TargetMode="External" Id="rId110"/><Relationship Type="http://schemas.openxmlformats.org/officeDocument/2006/relationships/hyperlink" Target="https://www.amazon.co.uk/s?k=M3x8+countersunk+screw+A2+stainless" TargetMode="External" Id="rId111"/><Relationship Type="http://schemas.openxmlformats.org/officeDocument/2006/relationships/hyperlink" Target="https://www.aliexpress.com/wholesale?SearchText=M3x8+countersunk+screw+A2+stainless" TargetMode="External" Id="rId112"/><Relationship Type="http://schemas.openxmlformats.org/officeDocument/2006/relationships/hyperlink" Target="https://www.ebay.co.uk/sch/i.html?_nkw=M3x12+countersunk+screw+A2+stainless" TargetMode="External" Id="rId113"/><Relationship Type="http://schemas.openxmlformats.org/officeDocument/2006/relationships/hyperlink" Target="https://www.amazon.co.uk/s?k=M3x12+countersunk+screw+A2+stainless" TargetMode="External" Id="rId114"/><Relationship Type="http://schemas.openxmlformats.org/officeDocument/2006/relationships/hyperlink" Target="https://www.aliexpress.com/wholesale?SearchText=M3x12+countersunk+screw+A2+stainless" TargetMode="External" Id="rId115"/><Relationship Type="http://schemas.openxmlformats.org/officeDocument/2006/relationships/hyperlink" Target="https://www.ebay.co.uk/sch/i.html?_nkw=M3x20+countersunk+screw+A2+stainless" TargetMode="External" Id="rId116"/><Relationship Type="http://schemas.openxmlformats.org/officeDocument/2006/relationships/hyperlink" Target="https://www.amazon.co.uk/s?k=M3x20+countersunk+screw+A2+stainless" TargetMode="External" Id="rId117"/><Relationship Type="http://schemas.openxmlformats.org/officeDocument/2006/relationships/hyperlink" Target="https://www.aliexpress.com/wholesale?SearchText=M3x20+countersunk+screw+A2+stainless" TargetMode="External" Id="rId118"/><Relationship Type="http://schemas.openxmlformats.org/officeDocument/2006/relationships/hyperlink" Target="https://www.ebay.co.uk/sch/i.html?_nkw=M3x30+countersunk+screw+A2+stainless" TargetMode="External" Id="rId119"/><Relationship Type="http://schemas.openxmlformats.org/officeDocument/2006/relationships/hyperlink" Target="https://www.amazon.co.uk/s?k=M3x30+countersunk+screw+A2+stainless" TargetMode="External" Id="rId120"/><Relationship Type="http://schemas.openxmlformats.org/officeDocument/2006/relationships/hyperlink" Target="https://www.aliexpress.com/wholesale?SearchText=M3x30+countersunk+screw+A2+stainless" TargetMode="External" Id="rId121"/><Relationship Type="http://schemas.openxmlformats.org/officeDocument/2006/relationships/hyperlink" Target="https://www.ebay.co.uk/sch/i.html?_nkw=M3x6+button+head+screw+A2+stainless" TargetMode="External" Id="rId122"/><Relationship Type="http://schemas.openxmlformats.org/officeDocument/2006/relationships/hyperlink" Target="https://www.amazon.co.uk/s?k=M3x6+button+head+screw+A2+stainless" TargetMode="External" Id="rId123"/><Relationship Type="http://schemas.openxmlformats.org/officeDocument/2006/relationships/hyperlink" Target="https://www.aliexpress.com/wholesale?SearchText=M3x6+button+head+screw+A2+stainless" TargetMode="External" Id="rId124"/><Relationship Type="http://schemas.openxmlformats.org/officeDocument/2006/relationships/hyperlink" Target="https://www.ebay.co.uk/sch/i.html?_nkw=M3x8+button+head+screw+A2+stainless" TargetMode="External" Id="rId125"/><Relationship Type="http://schemas.openxmlformats.org/officeDocument/2006/relationships/hyperlink" Target="https://www.amazon.co.uk/s?k=M3x8+button+head+screw+A2+stainless" TargetMode="External" Id="rId126"/><Relationship Type="http://schemas.openxmlformats.org/officeDocument/2006/relationships/hyperlink" Target="https://www.aliexpress.com/wholesale?SearchText=M3x8+button+head+screw+A2+stainless" TargetMode="External" Id="rId127"/><Relationship Type="http://schemas.openxmlformats.org/officeDocument/2006/relationships/hyperlink" Target="https://www.ebay.co.uk/sch/i.html?_nkw=M3x12+button+head+screw+A2+stainless" TargetMode="External" Id="rId128"/><Relationship Type="http://schemas.openxmlformats.org/officeDocument/2006/relationships/hyperlink" Target="https://www.amazon.co.uk/s?k=M3x12+button+head+screw+A2+stainless" TargetMode="External" Id="rId129"/><Relationship Type="http://schemas.openxmlformats.org/officeDocument/2006/relationships/hyperlink" Target="https://www.aliexpress.com/wholesale?SearchText=M3x12+button+head+screw+A2+stainless" TargetMode="External" Id="rId130"/><Relationship Type="http://schemas.openxmlformats.org/officeDocument/2006/relationships/hyperlink" Target="https://www.ebay.co.uk/sch/i.html?_nkw=M3x25+button+head+screw+A2+stainless" TargetMode="External" Id="rId131"/><Relationship Type="http://schemas.openxmlformats.org/officeDocument/2006/relationships/hyperlink" Target="https://www.amazon.co.uk/s?k=M3x25+button+head+screw+A2+stainless" TargetMode="External" Id="rId132"/><Relationship Type="http://schemas.openxmlformats.org/officeDocument/2006/relationships/hyperlink" Target="https://www.aliexpress.com/wholesale?SearchText=M3x25+button+head+screw+A2+stainless" TargetMode="External" Id="rId133"/><Relationship Type="http://schemas.openxmlformats.org/officeDocument/2006/relationships/hyperlink" Target="https://www.ebay.co.uk/sch/i.html?_nkw=M3x8+socket+head+cap+screw+A2+stainless" TargetMode="External" Id="rId134"/><Relationship Type="http://schemas.openxmlformats.org/officeDocument/2006/relationships/hyperlink" Target="https://www.amazon.co.uk/s?k=M3x8+socket+head+cap+screw+A2+stainless" TargetMode="External" Id="rId135"/><Relationship Type="http://schemas.openxmlformats.org/officeDocument/2006/relationships/hyperlink" Target="https://www.aliexpress.com/wholesale?SearchText=M3x8+socket+head+cap+screw+A2+stainless" TargetMode="External" Id="rId136"/><Relationship Type="http://schemas.openxmlformats.org/officeDocument/2006/relationships/hyperlink" Target="https://www.ebay.co.uk/sch/i.html?_nkw=M3+shoulder+screw+8mm+shank" TargetMode="External" Id="rId137"/><Relationship Type="http://schemas.openxmlformats.org/officeDocument/2006/relationships/hyperlink" Target="https://www.amazon.co.uk/s?k=M3+shoulder+screw+8mm+shank" TargetMode="External" Id="rId138"/><Relationship Type="http://schemas.openxmlformats.org/officeDocument/2006/relationships/hyperlink" Target="https://www.aliexpress.com/wholesale?SearchText=M3+shoulder+screw+8mm+shank" TargetMode="External" Id="rId139"/><Relationship Type="http://schemas.openxmlformats.org/officeDocument/2006/relationships/hyperlink" Target="https://www.ebay.co.uk/sch/i.html?_nkw=M3+thumb+screw+24mm+knurled" TargetMode="External" Id="rId140"/><Relationship Type="http://schemas.openxmlformats.org/officeDocument/2006/relationships/hyperlink" Target="https://www.amazon.co.uk/s?k=M3+thumb+screw+24mm+knurled" TargetMode="External" Id="rId141"/><Relationship Type="http://schemas.openxmlformats.org/officeDocument/2006/relationships/hyperlink" Target="https://www.aliexpress.com/wholesale?SearchText=M3+thumb+screw+24mm+knurled" TargetMode="External" Id="rId142"/><Relationship Type="http://schemas.openxmlformats.org/officeDocument/2006/relationships/hyperlink" Target="https://www.ebay.co.uk/sch/i.html?_nkw=M3+nyloc+nut+A2+stainless" TargetMode="External" Id="rId143"/><Relationship Type="http://schemas.openxmlformats.org/officeDocument/2006/relationships/hyperlink" Target="https://www.amazon.co.uk/s?k=M3+nyloc+nut+A2+stainless" TargetMode="External" Id="rId144"/><Relationship Type="http://schemas.openxmlformats.org/officeDocument/2006/relationships/hyperlink" Target="https://www.aliexpress.com/wholesale?SearchText=M3+nyloc+nut+A2+stainless" TargetMode="External" Id="rId145"/><Relationship Type="http://schemas.openxmlformats.org/officeDocument/2006/relationships/hyperlink" Target="https://www.ebay.co.uk/sch/i.html?_nkw=M3+drop+in+T+nut+2020+profile" TargetMode="External" Id="rId146"/><Relationship Type="http://schemas.openxmlformats.org/officeDocument/2006/relationships/hyperlink" Target="https://www.amazon.co.uk/s?k=M3+drop+in+T+nut+2020+profile" TargetMode="External" Id="rId147"/><Relationship Type="http://schemas.openxmlformats.org/officeDocument/2006/relationships/hyperlink" Target="https://www.aliexpress.com/wholesale?SearchText=M3+drop+in+T+nut+2020+profile" TargetMode="External" Id="rId148"/><Relationship Type="http://schemas.openxmlformats.org/officeDocument/2006/relationships/hyperlink" Target="https://thepihut.com/products/brass-heat-set-inserts-for-plastic-m3-x-3mm-50-pack" TargetMode="External" Id="rId149"/><Relationship Type="http://schemas.openxmlformats.org/officeDocument/2006/relationships/hyperlink" Target="https://www.ebay.co.uk/sch/i.html?_nkw=M3+heat+set+insert+M3x3+brass" TargetMode="External" Id="rId150"/><Relationship Type="http://schemas.openxmlformats.org/officeDocument/2006/relationships/hyperlink" Target="https://www.amazon.co.uk/s?k=M3+heat+set+insert+M3x3+brass" TargetMode="External" Id="rId151"/><Relationship Type="http://schemas.openxmlformats.org/officeDocument/2006/relationships/hyperlink" Target="https://www.aliexpress.com/wholesale?SearchText=M3+heat+set+insert+M3x3+brass" TargetMode="External" Id="rId152"/><Relationship Type="http://schemas.openxmlformats.org/officeDocument/2006/relationships/hyperlink" Target="https://www.ebay.co.uk/sch/i.html?_nkw=M5x8+countersunk+screw+A2+stainless" TargetMode="External" Id="rId153"/><Relationship Type="http://schemas.openxmlformats.org/officeDocument/2006/relationships/hyperlink" Target="https://www.amazon.co.uk/s?k=M5x8+countersunk+screw+A2+stainless" TargetMode="External" Id="rId154"/><Relationship Type="http://schemas.openxmlformats.org/officeDocument/2006/relationships/hyperlink" Target="https://www.aliexpress.com/wholesale?SearchText=M5x8+countersunk+screw+A2+stainless" TargetMode="External" Id="rId155"/><Relationship Type="http://schemas.openxmlformats.org/officeDocument/2006/relationships/hyperlink" Target="https://www.ebay.co.uk/sch/i.html?_nkw=M5x20+countersunk+screw+A2+stainless" TargetMode="External" Id="rId156"/><Relationship Type="http://schemas.openxmlformats.org/officeDocument/2006/relationships/hyperlink" Target="https://www.amazon.co.uk/s?k=M5x20+countersunk+screw+A2+stainless" TargetMode="External" Id="rId157"/><Relationship Type="http://schemas.openxmlformats.org/officeDocument/2006/relationships/hyperlink" Target="https://www.aliexpress.com/wholesale?SearchText=M5x20+countersunk+screw+A2+stainless" TargetMode="External" Id="rId158"/><Relationship Type="http://schemas.openxmlformats.org/officeDocument/2006/relationships/hyperlink" Target="https://www.ebay.co.uk/sch/i.html?_nkw=M5x12+button+head+screw+A2+stainless" TargetMode="External" Id="rId159"/><Relationship Type="http://schemas.openxmlformats.org/officeDocument/2006/relationships/hyperlink" Target="https://www.amazon.co.uk/s?k=M5x12+button+head+screw+A2+stainless" TargetMode="External" Id="rId160"/><Relationship Type="http://schemas.openxmlformats.org/officeDocument/2006/relationships/hyperlink" Target="https://www.aliexpress.com/wholesale?SearchText=M5x12+button+head+screw+A2+stainless" TargetMode="External" Id="rId161"/><Relationship Type="http://schemas.openxmlformats.org/officeDocument/2006/relationships/hyperlink" Target="https://www.ebay.co.uk/sch/i.html?_nkw=M5x8+button+head+screw+A2+stainless" TargetMode="External" Id="rId162"/><Relationship Type="http://schemas.openxmlformats.org/officeDocument/2006/relationships/hyperlink" Target="https://www.amazon.co.uk/s?k=M5x8+button+head+screw+A2+stainless" TargetMode="External" Id="rId163"/><Relationship Type="http://schemas.openxmlformats.org/officeDocument/2006/relationships/hyperlink" Target="https://www.aliexpress.com/wholesale?SearchText=M5x8+button+head+screw+A2+stainless" TargetMode="External" Id="rId164"/><Relationship Type="http://schemas.openxmlformats.org/officeDocument/2006/relationships/hyperlink" Target="https://www.ebay.co.uk/sch/i.html?_nkw=M5x8+socket+head+cap+screw+A2+stainless" TargetMode="External" Id="rId165"/><Relationship Type="http://schemas.openxmlformats.org/officeDocument/2006/relationships/hyperlink" Target="https://www.amazon.co.uk/s?k=M5x8+socket+head+cap+screw+A2+stainless" TargetMode="External" Id="rId166"/><Relationship Type="http://schemas.openxmlformats.org/officeDocument/2006/relationships/hyperlink" Target="https://www.aliexpress.com/wholesale?SearchText=M5x8+socket+head+cap+screw+A2+stainless" TargetMode="External" Id="rId167"/><Relationship Type="http://schemas.openxmlformats.org/officeDocument/2006/relationships/hyperlink" Target="https://www.ebay.co.uk/sch/i.html?_nkw=M5+drop+in+T+nut+2020+profile" TargetMode="External" Id="rId168"/><Relationship Type="http://schemas.openxmlformats.org/officeDocument/2006/relationships/hyperlink" Target="https://www.amazon.co.uk/s?k=M5+drop+in+T+nut+2020+profile" TargetMode="External" Id="rId169"/><Relationship Type="http://schemas.openxmlformats.org/officeDocument/2006/relationships/hyperlink" Target="https://www.aliexpress.com/wholesale?SearchText=M5+drop+in+T+nut+2020+profile" TargetMode="External" Id="rId17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6" customWidth="1" min="4" max="4"/>
    <col width="9" customWidth="1" min="5" max="5"/>
    <col width="26" customWidth="1" min="6" max="6"/>
    <col width="22" customWidth="1" min="7" max="7"/>
    <col width="11" customWidth="1" min="8" max="8"/>
    <col width="17" customWidth="1" min="9" max="9"/>
    <col width="8" customWidth="1" min="10" max="10"/>
    <col width="9" customWidth="1" min="11" max="11"/>
    <col width="11" customWidth="1" min="12" max="12"/>
    <col width="10" customWidth="1" min="13" max="13"/>
    <col width="10" customWidth="1" min="14" max="14"/>
    <col width="11" customWidth="1" min="15" max="15"/>
    <col width="58" customWidth="1" min="16" max="16"/>
  </cols>
  <sheetData>
    <row r="1">
      <c r="A1" s="1" t="inlineStr">
        <is>
          <t>terraPen A2 – Bill of Materials (v2)</t>
        </is>
      </c>
    </row>
    <row r="2" ht="26" customHeight="1">
      <c r="A2" s="2" t="inlineStr">
        <is>
          <t>6 Oct 2026. Rebuilt from terraPenA2 BOM.xlsx and audited against the sub-assembly blocks, the CAD part names and the STL folder. Quantities in 'Qty' come from the sub-assemblies; the old master figure is kept beside it.</t>
        </is>
      </c>
    </row>
    <row r="3">
      <c r="A3" s="3" t="inlineStr">
        <is>
          <t>Status:</t>
        </is>
      </c>
      <c r="B3" s="33" t="inlineStr">
        <is>
          <t>OK – matches old master</t>
        </is>
      </c>
      <c r="C3" s="34" t="inlineStr">
        <is>
          <t>CHANGED – qty differs from old master</t>
        </is>
      </c>
      <c r="D3" s="35" t="n"/>
      <c r="F3" s="36" t="inlineStr">
        <is>
          <t>NEW – missing from old master</t>
        </is>
      </c>
      <c r="G3" s="37" t="inlineStr">
        <is>
          <t>CHECK – needs your decision</t>
        </is>
      </c>
      <c r="H3" s="35" t="n"/>
      <c r="J3" s="35" t="n"/>
      <c r="P3" s="38" t="inlineStr">
        <is>
          <t>CUSTOM – no off-the-shelf source</t>
        </is>
      </c>
    </row>
    <row r="5" ht="30" customHeight="1">
      <c r="A5" s="9" t="inlineStr">
        <is>
          <t>Ref</t>
        </is>
      </c>
      <c r="B5" s="10" t="inlineStr">
        <is>
          <t>Part</t>
        </is>
      </c>
      <c r="C5" s="10" t="inlineStr">
        <is>
          <t>Spec / size</t>
        </is>
      </c>
      <c r="D5" s="9" t="inlineStr">
        <is>
          <t>Qty</t>
        </is>
      </c>
      <c r="E5" s="9" t="inlineStr">
        <is>
          <t>Old master qty</t>
        </is>
      </c>
      <c r="F5" s="10" t="inlineStr">
        <is>
          <t>Used in</t>
        </is>
      </c>
      <c r="G5" s="10" t="inlineStr">
        <is>
          <t>Supplier</t>
        </is>
      </c>
      <c r="H5" s="9" t="inlineStr">
        <is>
          <t>Primary link</t>
        </is>
      </c>
      <c r="I5" s="9" t="inlineStr">
        <is>
          <t>Link check</t>
        </is>
      </c>
      <c r="J5" s="9" t="inlineStr">
        <is>
          <t>eBay UK</t>
        </is>
      </c>
      <c r="K5" s="9" t="inlineStr">
        <is>
          <t>Amazon UK</t>
        </is>
      </c>
      <c r="L5" s="9" t="inlineStr">
        <is>
          <t>AliExpress</t>
        </is>
      </c>
      <c r="M5" s="9" t="inlineStr">
        <is>
          <t>Unit £ (inc VAT)</t>
        </is>
      </c>
      <c r="N5" s="9" t="inlineStr">
        <is>
          <t>Line £</t>
        </is>
      </c>
      <c r="O5" s="9" t="inlineStr">
        <is>
          <t>Status</t>
        </is>
      </c>
      <c r="P5" s="10" t="inlineStr">
        <is>
          <t>Notes</t>
        </is>
      </c>
    </row>
    <row r="6" ht="20" customHeight="1">
      <c r="A6" s="11" t="inlineStr">
        <is>
          <t>1  FRAME &amp; STRUCTURE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</row>
    <row r="7">
      <c r="A7" s="12" t="inlineStr">
        <is>
          <t>1.01</t>
        </is>
      </c>
      <c r="B7" s="13" t="inlineStr">
        <is>
          <t>2020 T-slot extrusion</t>
        </is>
      </c>
      <c r="C7" s="13" t="inlineStr">
        <is>
          <t>760 mm, cut</t>
        </is>
      </c>
      <c r="D7" s="12" t="n">
        <v>4</v>
      </c>
      <c r="E7" s="12" t="n">
        <v>4</v>
      </c>
      <c r="F7" s="13" t="inlineStr">
        <is>
          <t>Frame – width</t>
        </is>
      </c>
      <c r="G7" s="13" t="inlineStr">
        <is>
          <t>Ooznest (cut to size)</t>
        </is>
      </c>
      <c r="H7" s="14" t="inlineStr">
        <is>
          <t>Open page</t>
        </is>
      </c>
      <c r="I7" s="12" t="inlineStr">
        <is>
          <t>Page opened</t>
        </is>
      </c>
      <c r="J7" s="14" t="inlineStr">
        <is>
          <t>eBay</t>
        </is>
      </c>
      <c r="K7" s="14" t="inlineStr">
        <is>
          <t>Amazon</t>
        </is>
      </c>
      <c r="L7" s="14" t="inlineStr">
        <is>
          <t>AliExpress</t>
        </is>
      </c>
      <c r="M7" s="15" t="n"/>
      <c r="N7" s="15">
        <f>IF(OR(D7="",M7=""),"",D7*M7)</f>
        <v/>
      </c>
      <c r="O7" s="16" t="inlineStr">
        <is>
          <t>OK</t>
        </is>
      </c>
      <c r="P7" s="13" t="inlineStr">
        <is>
          <t>Order all 2020 lengths together as cut-to-size. Confirm the profile takes M5 drop-in T-nuts (Ooznest sells T/V-slot 20 series). Price not shown on page.</t>
        </is>
      </c>
    </row>
    <row r="8">
      <c r="A8" s="12" t="inlineStr">
        <is>
          <t>1.02</t>
        </is>
      </c>
      <c r="B8" s="13" t="inlineStr">
        <is>
          <t>2020 T-slot extrusion</t>
        </is>
      </c>
      <c r="C8" s="13" t="inlineStr">
        <is>
          <t>560 mm, cut</t>
        </is>
      </c>
      <c r="D8" s="12" t="n">
        <v>4</v>
      </c>
      <c r="E8" s="12" t="n">
        <v>4</v>
      </c>
      <c r="F8" s="13" t="inlineStr">
        <is>
          <t>Frame – length</t>
        </is>
      </c>
      <c r="G8" s="13" t="inlineStr">
        <is>
          <t>Ooznest (cut to size)</t>
        </is>
      </c>
      <c r="H8" s="14" t="inlineStr">
        <is>
          <t>Open page</t>
        </is>
      </c>
      <c r="I8" s="12" t="inlineStr">
        <is>
          <t>Page opened</t>
        </is>
      </c>
      <c r="J8" s="14" t="inlineStr">
        <is>
          <t>eBay</t>
        </is>
      </c>
      <c r="K8" s="14" t="inlineStr">
        <is>
          <t>Amazon</t>
        </is>
      </c>
      <c r="L8" s="14" t="inlineStr">
        <is>
          <t>AliExpress</t>
        </is>
      </c>
      <c r="M8" s="15" t="n"/>
      <c r="N8" s="15">
        <f>IF(OR(D8="",M8=""),"",D8*M8)</f>
        <v/>
      </c>
      <c r="O8" s="16" t="inlineStr">
        <is>
          <t>OK</t>
        </is>
      </c>
      <c r="P8" s="13" t="inlineStr"/>
    </row>
    <row r="9">
      <c r="A9" s="12" t="inlineStr">
        <is>
          <t>1.03</t>
        </is>
      </c>
      <c r="B9" s="13" t="inlineStr">
        <is>
          <t>2020 T-slot extrusion</t>
        </is>
      </c>
      <c r="C9" s="13" t="inlineStr">
        <is>
          <t>710 mm, cut (X rail)</t>
        </is>
      </c>
      <c r="D9" s="12" t="n">
        <v>1</v>
      </c>
      <c r="E9" s="12" t="n">
        <v>1</v>
      </c>
      <c r="F9" s="13" t="inlineStr">
        <is>
          <t>Frame – X rail</t>
        </is>
      </c>
      <c r="G9" s="13" t="inlineStr">
        <is>
          <t>Ooznest (cut to size)</t>
        </is>
      </c>
      <c r="H9" s="14" t="inlineStr">
        <is>
          <t>Open page</t>
        </is>
      </c>
      <c r="I9" s="12" t="inlineStr">
        <is>
          <t>Page opened</t>
        </is>
      </c>
      <c r="J9" s="14" t="inlineStr">
        <is>
          <t>eBay</t>
        </is>
      </c>
      <c r="K9" s="14" t="inlineStr">
        <is>
          <t>Amazon</t>
        </is>
      </c>
      <c r="L9" s="14" t="inlineStr">
        <is>
          <t>AliExpress</t>
        </is>
      </c>
      <c r="M9" s="15" t="n"/>
      <c r="N9" s="15">
        <f>IF(OR(D9="",M9=""),"",D9*M9)</f>
        <v/>
      </c>
      <c r="O9" s="16" t="inlineStr">
        <is>
          <t>OK</t>
        </is>
      </c>
      <c r="P9" s="13" t="inlineStr"/>
    </row>
    <row r="10">
      <c r="A10" s="12" t="inlineStr">
        <is>
          <t>1.04</t>
        </is>
      </c>
      <c r="B10" s="13" t="inlineStr">
        <is>
          <t>2020 T-slot extrusion</t>
        </is>
      </c>
      <c r="C10" s="13" t="inlineStr">
        <is>
          <t>45 mm, cut (uprights)</t>
        </is>
      </c>
      <c r="D10" s="17" t="n">
        <v>4</v>
      </c>
      <c r="E10" s="12" t="n">
        <v>4</v>
      </c>
      <c r="F10" s="13" t="inlineStr">
        <is>
          <t>Frame – height</t>
        </is>
      </c>
      <c r="G10" s="13" t="inlineStr">
        <is>
          <t>Ooznest (cut to size)</t>
        </is>
      </c>
      <c r="H10" s="14" t="inlineStr">
        <is>
          <t>Open page</t>
        </is>
      </c>
      <c r="I10" s="12" t="inlineStr">
        <is>
          <t>Page opened</t>
        </is>
      </c>
      <c r="J10" s="14" t="inlineStr">
        <is>
          <t>eBay</t>
        </is>
      </c>
      <c r="K10" s="14" t="inlineStr">
        <is>
          <t>Amazon</t>
        </is>
      </c>
      <c r="L10" s="14" t="inlineStr">
        <is>
          <t>AliExpress</t>
        </is>
      </c>
      <c r="M10" s="15" t="n"/>
      <c r="N10" s="15">
        <f>IF(OR(D10="",M10=""),"",D10*M10)</f>
        <v/>
      </c>
      <c r="O10" s="18" t="inlineStr">
        <is>
          <t>CHECK</t>
        </is>
      </c>
      <c r="P10" s="13" t="inlineStr">
        <is>
          <t>BOM says 45 mm; the CAD part is named '2020AluminiumExtrusion40'. Confirm which length is right before ordering.</t>
        </is>
      </c>
    </row>
    <row r="11">
      <c r="A11" s="12" t="inlineStr">
        <is>
          <t>1.05</t>
        </is>
      </c>
      <c r="B11" s="13" t="inlineStr">
        <is>
          <t>2020 corner cube connector</t>
        </is>
      </c>
      <c r="C11" s="13" t="inlineStr">
        <is>
          <t>3-way, 20x20x20</t>
        </is>
      </c>
      <c r="D11" s="12" t="n">
        <v>8</v>
      </c>
      <c r="E11" s="12" t="n">
        <v>8</v>
      </c>
      <c r="F11" s="13" t="inlineStr">
        <is>
          <t>Frame – corners</t>
        </is>
      </c>
      <c r="G11" s="13" t="inlineStr">
        <is>
          <t>Ooznest</t>
        </is>
      </c>
      <c r="H11" s="14" t="inlineStr">
        <is>
          <t>Open page</t>
        </is>
      </c>
      <c r="I11" s="12" t="inlineStr">
        <is>
          <t>Search result (not opened)</t>
        </is>
      </c>
      <c r="J11" s="14" t="inlineStr">
        <is>
          <t>eBay</t>
        </is>
      </c>
      <c r="K11" s="14" t="inlineStr">
        <is>
          <t>Amazon</t>
        </is>
      </c>
      <c r="L11" s="14" t="inlineStr">
        <is>
          <t>AliExpress</t>
        </is>
      </c>
      <c r="M11" s="15" t="n"/>
      <c r="N11" s="15">
        <f>IF(OR(D11="",M11=""),"",D11*M11)</f>
        <v/>
      </c>
      <c r="O11" s="16" t="inlineStr">
        <is>
          <t>OK</t>
        </is>
      </c>
      <c r="P11" s="13" t="inlineStr">
        <is>
          <t>Check whether screws and T-nuts are supplied with the cubes (see audit item on T-nuts for corner screws).</t>
        </is>
      </c>
    </row>
    <row r="12">
      <c r="A12" s="12" t="inlineStr">
        <is>
          <t>1.06</t>
        </is>
      </c>
      <c r="B12" s="13" t="inlineStr">
        <is>
          <t>2020 corner bracket</t>
        </is>
      </c>
      <c r="C12" s="13" t="inlineStr">
        <is>
          <t>90 degree</t>
        </is>
      </c>
      <c r="D12" s="17" t="n">
        <v>2</v>
      </c>
      <c r="E12" s="12" t="n">
        <v>2</v>
      </c>
      <c r="F12" s="13" t="inlineStr">
        <is>
          <t>Frame</t>
        </is>
      </c>
      <c r="G12" s="13" t="inlineStr"/>
      <c r="H12" s="12" t="inlineStr">
        <is>
          <t>–</t>
        </is>
      </c>
      <c r="I12" s="12" t="inlineStr">
        <is>
          <t>Search links only</t>
        </is>
      </c>
      <c r="J12" s="14" t="inlineStr">
        <is>
          <t>eBay</t>
        </is>
      </c>
      <c r="K12" s="14" t="inlineStr">
        <is>
          <t>Amazon</t>
        </is>
      </c>
      <c r="L12" s="14" t="inlineStr">
        <is>
          <t>AliExpress</t>
        </is>
      </c>
      <c r="M12" s="15" t="n"/>
      <c r="N12" s="15">
        <f>IF(OR(D12="",M12=""),"",D12*M12)</f>
        <v/>
      </c>
      <c r="O12" s="18" t="inlineStr">
        <is>
          <t>CHECK</t>
        </is>
      </c>
      <c r="P12" s="13" t="inlineStr">
        <is>
          <t>CAD file has six '2020_90_bracket' bodies vs 2 here (may be leftovers in the CAD). Confirm quantity.</t>
        </is>
      </c>
    </row>
    <row r="13">
      <c r="A13" s="12" t="inlineStr">
        <is>
          <t>1.07</t>
        </is>
      </c>
      <c r="B13" s="13" t="inlineStr">
        <is>
          <t>Rubber feet</t>
        </is>
      </c>
      <c r="C13" s="13" t="inlineStr">
        <is>
          <t>20 mm dia x 15 mm high</t>
        </is>
      </c>
      <c r="D13" s="12" t="n">
        <v>4</v>
      </c>
      <c r="E13" s="12" t="n">
        <v>4</v>
      </c>
      <c r="F13" s="13" t="inlineStr">
        <is>
          <t>Frame – base</t>
        </is>
      </c>
      <c r="G13" s="13" t="inlineStr"/>
      <c r="H13" s="12" t="inlineStr">
        <is>
          <t>–</t>
        </is>
      </c>
      <c r="I13" s="12" t="inlineStr">
        <is>
          <t>Search links only</t>
        </is>
      </c>
      <c r="J13" s="14" t="inlineStr">
        <is>
          <t>eBay</t>
        </is>
      </c>
      <c r="K13" s="14" t="inlineStr">
        <is>
          <t>Amazon</t>
        </is>
      </c>
      <c r="L13" s="14" t="inlineStr">
        <is>
          <t>AliExpress</t>
        </is>
      </c>
      <c r="M13" s="15" t="n"/>
      <c r="N13" s="15">
        <f>IF(OR(D13="",M13=""),"",D13*M13)</f>
        <v/>
      </c>
      <c r="O13" s="16" t="inlineStr">
        <is>
          <t>OK</t>
        </is>
      </c>
      <c r="P13" s="13" t="inlineStr"/>
    </row>
    <row r="14">
      <c r="A14" s="12" t="inlineStr">
        <is>
          <t>1.08</t>
        </is>
      </c>
      <c r="B14" s="13" t="inlineStr">
        <is>
          <t>Baseboard – EKOply</t>
        </is>
      </c>
      <c r="C14" s="13" t="inlineStr">
        <is>
          <t>800 x 600 x 12.5 mm</t>
        </is>
      </c>
      <c r="D14" s="17" t="n">
        <v>1</v>
      </c>
      <c r="E14" s="12" t="n">
        <v>1</v>
      </c>
      <c r="F14" s="13" t="inlineStr">
        <is>
          <t>Base</t>
        </is>
      </c>
      <c r="G14" s="13" t="inlineStr">
        <is>
          <t>Sheet Materials Wholesale (full 2440x1220 sheet, needs cutting)</t>
        </is>
      </c>
      <c r="H14" s="14" t="inlineStr">
        <is>
          <t>Open page</t>
        </is>
      </c>
      <c r="I14" s="12" t="inlineStr">
        <is>
          <t>Search result (not opened)</t>
        </is>
      </c>
      <c r="J14" s="14" t="inlineStr">
        <is>
          <t>eBay</t>
        </is>
      </c>
      <c r="K14" s="14" t="inlineStr">
        <is>
          <t>Amazon</t>
        </is>
      </c>
      <c r="L14" s="14" t="inlineStr">
        <is>
          <t>AliExpress</t>
        </is>
      </c>
      <c r="M14" s="15" t="n"/>
      <c r="N14" s="15">
        <f>IF(OR(D14="",M14=""),"",D14*M14)</f>
        <v/>
      </c>
      <c r="O14" s="18" t="inlineStr">
        <is>
          <t>CHECK</t>
        </is>
      </c>
      <c r="P14" s="13" t="inlineStr">
        <is>
          <t>Ekopine/EKOply is normally sold as 12 mm, not 12.5. Confirm the thickness your CAD and rail mounts expect.</t>
        </is>
      </c>
    </row>
    <row r="15">
      <c r="A15" s="12" t="inlineStr">
        <is>
          <t>1.09</t>
        </is>
      </c>
      <c r="B15" s="13" t="inlineStr">
        <is>
          <t>Metal bed (Dibond / aluminium composite)</t>
        </is>
      </c>
      <c r="C15" s="13" t="inlineStr">
        <is>
          <t>Profile: 'metal bed/tP_Bed_Profile_Revised.dxf'</t>
        </is>
      </c>
      <c r="D15" s="17" t="n">
        <v>1</v>
      </c>
      <c r="E15" s="12" t="n"/>
      <c r="F15" s="13" t="inlineStr">
        <is>
          <t>Bed</t>
        </is>
      </c>
      <c r="G15" s="13" t="inlineStr"/>
      <c r="H15" s="12" t="inlineStr">
        <is>
          <t>–</t>
        </is>
      </c>
      <c r="I15" s="12" t="inlineStr">
        <is>
          <t>Search links only</t>
        </is>
      </c>
      <c r="J15" s="14" t="inlineStr">
        <is>
          <t>eBay</t>
        </is>
      </c>
      <c r="K15" s="14" t="inlineStr">
        <is>
          <t>Amazon</t>
        </is>
      </c>
      <c r="L15" s="14" t="inlineStr">
        <is>
          <t>AliExpress</t>
        </is>
      </c>
      <c r="M15" s="15" t="n"/>
      <c r="N15" s="15">
        <f>IF(OR(D15="",M15=""),"",D15*M15)</f>
        <v/>
      </c>
      <c r="O15" s="19" t="inlineStr">
        <is>
          <t>NEW</t>
        </is>
      </c>
      <c r="P15" s="13" t="inlineStr">
        <is>
          <t>The repo has a metal bed DXF and Dibond vinyl artwork but the BOM has no bed. Add thickness / size / supplier if it is part of the A2 build.</t>
        </is>
      </c>
    </row>
    <row r="16" ht="20" customHeight="1">
      <c r="A16" s="11" t="inlineStr">
        <is>
          <t>2  LINEAR MOTION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</row>
    <row r="17">
      <c r="A17" s="12" t="inlineStr">
        <is>
          <t>2.01</t>
        </is>
      </c>
      <c r="B17" s="13" t="inlineStr">
        <is>
          <t>Linear rail + 1 block, MGN9H</t>
        </is>
      </c>
      <c r="C17" s="13" t="inlineStr">
        <is>
          <t>540 mm (Y axis)</t>
        </is>
      </c>
      <c r="D17" s="12" t="n">
        <v>2</v>
      </c>
      <c r="E17" s="12" t="n">
        <v>2</v>
      </c>
      <c r="F17" s="13" t="inlineStr">
        <is>
          <t>Y left / Y right</t>
        </is>
      </c>
      <c r="G17" s="13" t="inlineStr"/>
      <c r="H17" s="12" t="inlineStr">
        <is>
          <t>–</t>
        </is>
      </c>
      <c r="I17" s="12" t="inlineStr">
        <is>
          <t>Search links only</t>
        </is>
      </c>
      <c r="J17" s="14" t="inlineStr">
        <is>
          <t>eBay</t>
        </is>
      </c>
      <c r="K17" s="14" t="inlineStr">
        <is>
          <t>Amazon</t>
        </is>
      </c>
      <c r="L17" s="14" t="inlineStr">
        <is>
          <t>AliExpress</t>
        </is>
      </c>
      <c r="M17" s="15" t="n"/>
      <c r="N17" s="15">
        <f>IF(OR(D17="",M17=""),"",D17*M17)</f>
        <v/>
      </c>
      <c r="O17" s="16" t="inlineStr">
        <is>
          <t>OK</t>
        </is>
      </c>
      <c r="P17" s="13" t="inlineStr">
        <is>
          <t>Block count was never stated; 1 per rail is assumed from the sub-assemblies. 550 mm is the common listed length, so check hole spacing if you substitute.</t>
        </is>
      </c>
    </row>
    <row r="18">
      <c r="A18" s="12" t="inlineStr">
        <is>
          <t>2.02</t>
        </is>
      </c>
      <c r="B18" s="13" t="inlineStr">
        <is>
          <t>Linear rail + 1 block, MGN9H</t>
        </is>
      </c>
      <c r="C18" s="13" t="inlineStr">
        <is>
          <t>710 mm (X axis)</t>
        </is>
      </c>
      <c r="D18" s="17" t="n">
        <v>1</v>
      </c>
      <c r="E18" s="12" t="n">
        <v>1</v>
      </c>
      <c r="F18" s="13" t="inlineStr">
        <is>
          <t>X rail / carriage</t>
        </is>
      </c>
      <c r="G18" s="13" t="inlineStr"/>
      <c r="H18" s="12" t="inlineStr">
        <is>
          <t>–</t>
        </is>
      </c>
      <c r="I18" s="12" t="inlineStr">
        <is>
          <t>Search links only</t>
        </is>
      </c>
      <c r="J18" s="14" t="inlineStr">
        <is>
          <t>eBay</t>
        </is>
      </c>
      <c r="K18" s="14" t="inlineStr">
        <is>
          <t>Amazon</t>
        </is>
      </c>
      <c r="L18" s="14" t="inlineStr">
        <is>
          <t>AliExpress</t>
        </is>
      </c>
      <c r="M18" s="15" t="n"/>
      <c r="N18" s="15">
        <f>IF(OR(D18="",M18=""),"",D18*M18)</f>
        <v/>
      </c>
      <c r="O18" s="18" t="inlineStr">
        <is>
          <t>CHECK</t>
        </is>
      </c>
      <c r="P18" s="13" t="inlineStr">
        <is>
          <t>710 mm is not a common stock length; you may need a 750 mm rail cut down, or a custom length from the seller.</t>
        </is>
      </c>
    </row>
    <row r="19">
      <c r="A19" s="12" t="inlineStr">
        <is>
          <t>2.03</t>
        </is>
      </c>
      <c r="B19" s="13" t="inlineStr">
        <is>
          <t>Linear rail + 1 block, MGN7H</t>
        </is>
      </c>
      <c r="C19" s="13" t="inlineStr">
        <is>
          <t>50 mm (Z / pen lift)</t>
        </is>
      </c>
      <c r="D19" s="12" t="n">
        <v>1</v>
      </c>
      <c r="E19" s="12" t="n">
        <v>1</v>
      </c>
      <c r="F19" s="13" t="inlineStr">
        <is>
          <t>Tool head</t>
        </is>
      </c>
      <c r="G19" s="13" t="inlineStr"/>
      <c r="H19" s="12" t="inlineStr">
        <is>
          <t>–</t>
        </is>
      </c>
      <c r="I19" s="12" t="inlineStr">
        <is>
          <t>Search links only</t>
        </is>
      </c>
      <c r="J19" s="14" t="inlineStr">
        <is>
          <t>eBay</t>
        </is>
      </c>
      <c r="K19" s="14" t="inlineStr">
        <is>
          <t>Amazon</t>
        </is>
      </c>
      <c r="L19" s="14" t="inlineStr">
        <is>
          <t>AliExpress</t>
        </is>
      </c>
      <c r="M19" s="15" t="n"/>
      <c r="N19" s="15">
        <f>IF(OR(D19="",M19=""),"",D19*M19)</f>
        <v/>
      </c>
      <c r="O19" s="16" t="inlineStr">
        <is>
          <t>OK</t>
        </is>
      </c>
      <c r="P19" s="13" t="inlineStr">
        <is>
          <t>Sold as short rails in 50 mm steps by most sellers.</t>
        </is>
      </c>
    </row>
    <row r="20" ht="20" customHeight="1">
      <c r="A20" s="11" t="inlineStr">
        <is>
          <t>3  DRIVE – BELTS, PULLEYS, MOTORS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</row>
    <row r="21">
      <c r="A21" s="12" t="inlineStr">
        <is>
          <t>3.01</t>
        </is>
      </c>
      <c r="B21" s="13" t="inlineStr">
        <is>
          <t>GT2 timing belt, open</t>
        </is>
      </c>
      <c r="C21" s="13" t="inlineStr">
        <is>
          <t>6 mm wide x 3000 mm</t>
        </is>
      </c>
      <c r="D21" s="17" t="n">
        <v>2</v>
      </c>
      <c r="E21" s="12" t="n">
        <v>2</v>
      </c>
      <c r="F21" s="13" t="inlineStr">
        <is>
          <t>X and Y belts</t>
        </is>
      </c>
      <c r="G21" s="13" t="inlineStr">
        <is>
          <t>Ooznest (per metre)</t>
        </is>
      </c>
      <c r="H21" s="14" t="inlineStr">
        <is>
          <t>Open page</t>
        </is>
      </c>
      <c r="I21" s="12" t="inlineStr">
        <is>
          <t>Page opened</t>
        </is>
      </c>
      <c r="J21" s="14" t="inlineStr">
        <is>
          <t>eBay</t>
        </is>
      </c>
      <c r="K21" s="14" t="inlineStr">
        <is>
          <t>Amazon</t>
        </is>
      </c>
      <c r="L21" s="14" t="inlineStr">
        <is>
          <t>AliExpress</t>
        </is>
      </c>
      <c r="M21" s="15" t="n"/>
      <c r="N21" s="15">
        <f>IF(OR(D21="",M21=""),"",D21*M21)</f>
        <v/>
      </c>
      <c r="O21" s="18" t="inlineStr">
        <is>
          <t>CHECK</t>
        </is>
      </c>
      <c r="P21" s="13" t="inlineStr">
        <is>
          <t>Ooznest page opened but showed only a 12 mm option; confirm 6 mm is orderable. Order 6 m in total, or 2 x 3 m.</t>
        </is>
      </c>
    </row>
    <row r="22">
      <c r="A22" s="12" t="inlineStr">
        <is>
          <t>3.02</t>
        </is>
      </c>
      <c r="B22" s="13" t="inlineStr">
        <is>
          <t>GT2 pulley, toothed drive</t>
        </is>
      </c>
      <c r="C22" s="13" t="inlineStr">
        <is>
          <t>20T, 5 mm bore, 6 mm belt</t>
        </is>
      </c>
      <c r="D22" s="12" t="n">
        <v>2</v>
      </c>
      <c r="E22" s="12" t="n">
        <v>2</v>
      </c>
      <c r="F22" s="13" t="inlineStr">
        <is>
          <t>X motor, Y motor</t>
        </is>
      </c>
      <c r="G22" s="13" t="inlineStr"/>
      <c r="H22" s="12" t="inlineStr">
        <is>
          <t>–</t>
        </is>
      </c>
      <c r="I22" s="12" t="inlineStr">
        <is>
          <t>Search links only</t>
        </is>
      </c>
      <c r="J22" s="14" t="inlineStr">
        <is>
          <t>eBay</t>
        </is>
      </c>
      <c r="K22" s="14" t="inlineStr">
        <is>
          <t>Amazon</t>
        </is>
      </c>
      <c r="L22" s="14" t="inlineStr">
        <is>
          <t>AliExpress</t>
        </is>
      </c>
      <c r="M22" s="15" t="n"/>
      <c r="N22" s="15">
        <f>IF(OR(D22="",M22=""),"",D22*M22)</f>
        <v/>
      </c>
      <c r="O22" s="16" t="inlineStr">
        <is>
          <t>OK</t>
        </is>
      </c>
      <c r="P22" s="13" t="inlineStr">
        <is>
          <t>The old master row has a stray '10' in the length column.</t>
        </is>
      </c>
    </row>
    <row r="23">
      <c r="A23" s="12" t="inlineStr">
        <is>
          <t>3.03</t>
        </is>
      </c>
      <c r="B23" s="13" t="inlineStr">
        <is>
          <t>GT2 idler, smooth</t>
        </is>
      </c>
      <c r="C23" s="13" t="inlineStr">
        <is>
          <t>20T, 5 mm bore, 6 mm belt</t>
        </is>
      </c>
      <c r="D23" s="17" t="n">
        <v>6</v>
      </c>
      <c r="E23" s="12" t="n">
        <v>4</v>
      </c>
      <c r="F23" s="13" t="inlineStr">
        <is>
          <t>X/Y idlers, Y left/right, motor mounts</t>
        </is>
      </c>
      <c r="G23" s="13" t="inlineStr"/>
      <c r="H23" s="12" t="inlineStr">
        <is>
          <t>–</t>
        </is>
      </c>
      <c r="I23" s="12" t="inlineStr">
        <is>
          <t>Search links only</t>
        </is>
      </c>
      <c r="J23" s="14" t="inlineStr">
        <is>
          <t>eBay</t>
        </is>
      </c>
      <c r="K23" s="14" t="inlineStr">
        <is>
          <t>Amazon</t>
        </is>
      </c>
      <c r="L23" s="14" t="inlineStr">
        <is>
          <t>AliExpress</t>
        </is>
      </c>
      <c r="M23" s="15" t="n"/>
      <c r="N23" s="15">
        <f>IF(OR(D23="",M23=""),"",D23*M23)</f>
        <v/>
      </c>
      <c r="O23" s="20" t="inlineStr">
        <is>
          <t>CHANGED</t>
        </is>
      </c>
      <c r="P23" s="13" t="inlineStr">
        <is>
          <t>Sub-assemblies add up to 6 smooth + 6 toothed; the master said 4 + 8. Total of 14 pulleys is the same, so only the split is wrong. Confirm in CAD.</t>
        </is>
      </c>
    </row>
    <row r="24">
      <c r="A24" s="12" t="inlineStr">
        <is>
          <t>3.04</t>
        </is>
      </c>
      <c r="B24" s="13" t="inlineStr">
        <is>
          <t>GT2 idler, toothed</t>
        </is>
      </c>
      <c r="C24" s="13" t="inlineStr">
        <is>
          <t>20T, 5 mm bore, 6 mm belt</t>
        </is>
      </c>
      <c r="D24" s="17" t="n">
        <v>6</v>
      </c>
      <c r="E24" s="12" t="n">
        <v>8</v>
      </c>
      <c r="F24" s="13" t="inlineStr">
        <is>
          <t>X/Y idlers, Y left/right, motor mounts</t>
        </is>
      </c>
      <c r="G24" s="13" t="inlineStr"/>
      <c r="H24" s="12" t="inlineStr">
        <is>
          <t>–</t>
        </is>
      </c>
      <c r="I24" s="12" t="inlineStr">
        <is>
          <t>Search links only</t>
        </is>
      </c>
      <c r="J24" s="14" t="inlineStr">
        <is>
          <t>eBay</t>
        </is>
      </c>
      <c r="K24" s="14" t="inlineStr">
        <is>
          <t>Amazon</t>
        </is>
      </c>
      <c r="L24" s="14" t="inlineStr">
        <is>
          <t>AliExpress</t>
        </is>
      </c>
      <c r="M24" s="15" t="n"/>
      <c r="N24" s="15">
        <f>IF(OR(D24="",M24=""),"",D24*M24)</f>
        <v/>
      </c>
      <c r="O24" s="20" t="inlineStr">
        <is>
          <t>CHANGED</t>
        </is>
      </c>
      <c r="P24" s="13" t="inlineStr">
        <is>
          <t>See smooth idler row.</t>
        </is>
      </c>
    </row>
    <row r="25">
      <c r="A25" s="12" t="inlineStr">
        <is>
          <t>3.05</t>
        </is>
      </c>
      <c r="B25" s="13" t="inlineStr">
        <is>
          <t>NEMA 17 stepper motor, bipolar</t>
        </is>
      </c>
      <c r="C25" s="13" t="inlineStr">
        <is>
          <t>42x42x37.5 mm, 1.7 A, 44 N.cm, 1.86 ohm, 3.55 mH, with connector</t>
        </is>
      </c>
      <c r="D25" s="17" t="n">
        <v>2</v>
      </c>
      <c r="E25" s="12" t="n">
        <v>2</v>
      </c>
      <c r="F25" s="13" t="inlineStr">
        <is>
          <t>X motor, Y motor</t>
        </is>
      </c>
      <c r="G25" s="13" t="inlineStr">
        <is>
          <t>Pololu (closest listing found: 42x38 mm, 1.7 A)</t>
        </is>
      </c>
      <c r="H25" s="14" t="inlineStr">
        <is>
          <t>Open page</t>
        </is>
      </c>
      <c r="I25" s="12" t="inlineStr">
        <is>
          <t>Search result (not opened)</t>
        </is>
      </c>
      <c r="J25" s="14" t="inlineStr">
        <is>
          <t>eBay</t>
        </is>
      </c>
      <c r="K25" s="14" t="inlineStr">
        <is>
          <t>Amazon</t>
        </is>
      </c>
      <c r="L25" s="14" t="inlineStr">
        <is>
          <t>AliExpress</t>
        </is>
      </c>
      <c r="M25" s="15" t="n"/>
      <c r="N25" s="15">
        <f>IF(OR(D25="",M25=""),"",D25*M25)</f>
        <v/>
      </c>
      <c r="O25" s="18" t="inlineStr">
        <is>
          <t>CHECK</t>
        </is>
      </c>
      <c r="P25" s="13" t="inlineStr">
        <is>
          <t>The Pololu 2267 matches on size and current but I did not confirm torque or resistance against your spec. 'Socketed' in the old BOM = motor needs a plug-in lead.</t>
        </is>
      </c>
    </row>
    <row r="26" ht="20" customHeight="1">
      <c r="A26" s="11" t="inlineStr">
        <is>
          <t>4  TOOL HEAD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</row>
    <row r="27">
      <c r="A27" s="12" t="inlineStr">
        <is>
          <t>4.01</t>
        </is>
      </c>
      <c r="B27" s="13" t="inlineStr">
        <is>
          <t>RS PRO linear solenoid, 12 V dc</t>
        </is>
      </c>
      <c r="C27" s="13" t="inlineStr">
        <is>
          <t>RS stock no. 177-0116, 37 x 20.3 x 26 mm, 65 g</t>
        </is>
      </c>
      <c r="D27" s="12" t="n">
        <v>1</v>
      </c>
      <c r="E27" s="12" t="n">
        <v>1</v>
      </c>
      <c r="F27" s="13" t="inlineStr">
        <is>
          <t>Pen lift</t>
        </is>
      </c>
      <c r="G27" s="13" t="inlineStr">
        <is>
          <t>RS Components UK</t>
        </is>
      </c>
      <c r="H27" s="14" t="inlineStr">
        <is>
          <t>Open page</t>
        </is>
      </c>
      <c r="I27" s="12" t="inlineStr">
        <is>
          <t>Page opened</t>
        </is>
      </c>
      <c r="J27" s="14" t="inlineStr">
        <is>
          <t>eBay</t>
        </is>
      </c>
      <c r="K27" s="14" t="inlineStr">
        <is>
          <t>Amazon</t>
        </is>
      </c>
      <c r="L27" s="14" t="inlineStr">
        <is>
          <t>AliExpress</t>
        </is>
      </c>
      <c r="M27" s="15" t="n">
        <v>14.11</v>
      </c>
      <c r="N27" s="15">
        <f>IF(OR(D27="",M27=""),"",D27*M27)</f>
        <v/>
      </c>
      <c r="O27" s="16" t="inlineStr">
        <is>
          <t>OK</t>
        </is>
      </c>
      <c r="P27" s="13" t="inlineStr">
        <is>
          <t>In stock (557) when checked. £11.76 ex VAT / £14.11 inc VAT. Stroke, force and duty cycle are in the datasheet, not on the page.</t>
        </is>
      </c>
    </row>
    <row r="28">
      <c r="A28" s="12" t="inlineStr">
        <is>
          <t>4.02</t>
        </is>
      </c>
      <c r="B28" s="13" t="inlineStr">
        <is>
          <t>Solenoid driver PCB</t>
        </is>
      </c>
      <c r="C28" s="13" t="inlineStr">
        <is>
          <t>No spec given</t>
        </is>
      </c>
      <c r="D28" s="12" t="n">
        <v>1</v>
      </c>
      <c r="E28" s="12" t="n">
        <v>1</v>
      </c>
      <c r="F28" s="13" t="inlineStr">
        <is>
          <t>Tool head</t>
        </is>
      </c>
      <c r="G28" s="13" t="inlineStr"/>
      <c r="H28" s="12" t="inlineStr">
        <is>
          <t>–</t>
        </is>
      </c>
      <c r="I28" s="12" t="inlineStr">
        <is>
          <t>–</t>
        </is>
      </c>
      <c r="J28" s="12" t="inlineStr">
        <is>
          <t>–</t>
        </is>
      </c>
      <c r="K28" s="12" t="inlineStr">
        <is>
          <t>–</t>
        </is>
      </c>
      <c r="L28" s="12" t="inlineStr">
        <is>
          <t>–</t>
        </is>
      </c>
      <c r="M28" s="15" t="n"/>
      <c r="N28" s="15">
        <f>IF(OR(D28="",M28=""),"",D28*M28)</f>
        <v/>
      </c>
      <c r="O28" s="21" t="inlineStr">
        <is>
          <t>CUSTOM</t>
        </is>
      </c>
      <c r="P28" s="13" t="inlineStr">
        <is>
          <t>No part number or source in the BOM. Add the board name / Gerber file or a link.</t>
        </is>
      </c>
    </row>
    <row r="29">
      <c r="A29" s="12" t="inlineStr">
        <is>
          <t>4.03</t>
        </is>
      </c>
      <c r="B29" s="13" t="inlineStr">
        <is>
          <t>Pivot arm, folded steel</t>
        </is>
      </c>
      <c r="C29" s="13" t="inlineStr">
        <is>
          <t>Custom sheet-metal part</t>
        </is>
      </c>
      <c r="D29" s="12" t="n">
        <v>1</v>
      </c>
      <c r="E29" s="12" t="n">
        <v>1</v>
      </c>
      <c r="F29" s="13" t="inlineStr">
        <is>
          <t>Tool head</t>
        </is>
      </c>
      <c r="G29" s="13" t="inlineStr"/>
      <c r="H29" s="12" t="inlineStr">
        <is>
          <t>–</t>
        </is>
      </c>
      <c r="I29" s="12" t="inlineStr">
        <is>
          <t>–</t>
        </is>
      </c>
      <c r="J29" s="12" t="inlineStr">
        <is>
          <t>–</t>
        </is>
      </c>
      <c r="K29" s="12" t="inlineStr">
        <is>
          <t>–</t>
        </is>
      </c>
      <c r="L29" s="12" t="inlineStr">
        <is>
          <t>–</t>
        </is>
      </c>
      <c r="M29" s="15" t="n"/>
      <c r="N29" s="15">
        <f>IF(OR(D29="",M29=""),"",D29*M29)</f>
        <v/>
      </c>
      <c r="O29" s="21" t="inlineStr">
        <is>
          <t>CUSTOM</t>
        </is>
      </c>
      <c r="P29" s="13" t="inlineStr">
        <is>
          <t>No drawing or supplier listed. Add the file name or fabricator.</t>
        </is>
      </c>
    </row>
    <row r="30" ht="20" customHeight="1">
      <c r="A30" s="11" t="inlineStr">
        <is>
          <t>5  ELECTRONICS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</row>
    <row r="31">
      <c r="A31" s="12" t="inlineStr">
        <is>
          <t>5.01</t>
        </is>
      </c>
      <c r="B31" s="13" t="inlineStr">
        <is>
          <t>ESP32 controller board ('Emerald Dingo')</t>
        </is>
      </c>
      <c r="C31" s="13" t="inlineStr">
        <is>
          <t>FluidNC, 2-axis</t>
        </is>
      </c>
      <c r="D31" s="17" t="n">
        <v>1</v>
      </c>
      <c r="E31" s="12" t="n">
        <v>1</v>
      </c>
      <c r="F31" s="13" t="inlineStr">
        <is>
          <t>Electronics enclosure</t>
        </is>
      </c>
      <c r="G31" s="13" t="inlineStr"/>
      <c r="H31" s="12" t="inlineStr">
        <is>
          <t>–</t>
        </is>
      </c>
      <c r="I31" s="12" t="inlineStr">
        <is>
          <t>–</t>
        </is>
      </c>
      <c r="J31" s="12" t="inlineStr">
        <is>
          <t>–</t>
        </is>
      </c>
      <c r="K31" s="12" t="inlineStr">
        <is>
          <t>–</t>
        </is>
      </c>
      <c r="L31" s="12" t="inlineStr">
        <is>
          <t>–</t>
        </is>
      </c>
      <c r="M31" s="15" t="n"/>
      <c r="N31" s="15">
        <f>IF(OR(D31="",M31=""),"",D31*M31)</f>
        <v/>
      </c>
      <c r="O31" s="18" t="inlineStr">
        <is>
          <t>CHECK</t>
        </is>
      </c>
      <c r="P31" s="13" t="inlineStr">
        <is>
          <t>No source given. The sub-design ESP32 plotter board on Tindie is related (the CAD calls it ESP32_Plotter_Controller_revB1) but it has been out of stock since Dec 2023 and isn't called Emerald Dingo. Add your own supplier/link.</t>
        </is>
      </c>
    </row>
    <row r="32">
      <c r="A32" s="12" t="inlineStr">
        <is>
          <t>5.02</t>
        </is>
      </c>
      <c r="B32" s="13" t="inlineStr">
        <is>
          <t>Micro SD card</t>
        </is>
      </c>
      <c r="C32" s="13" t="inlineStr">
        <is>
          <t>8 GB, branded</t>
        </is>
      </c>
      <c r="D32" s="12" t="n">
        <v>1</v>
      </c>
      <c r="E32" s="12" t="n">
        <v>1</v>
      </c>
      <c r="F32" s="13" t="inlineStr">
        <is>
          <t>Controller</t>
        </is>
      </c>
      <c r="G32" s="13" t="inlineStr"/>
      <c r="H32" s="12" t="inlineStr">
        <is>
          <t>–</t>
        </is>
      </c>
      <c r="I32" s="12" t="inlineStr">
        <is>
          <t>Search links only</t>
        </is>
      </c>
      <c r="J32" s="14" t="inlineStr">
        <is>
          <t>eBay</t>
        </is>
      </c>
      <c r="K32" s="14" t="inlineStr">
        <is>
          <t>Amazon</t>
        </is>
      </c>
      <c r="L32" s="14" t="inlineStr">
        <is>
          <t>AliExpress</t>
        </is>
      </c>
      <c r="M32" s="15" t="n"/>
      <c r="N32" s="15">
        <f>IF(OR(D32="",M32=""),"",D32*M32)</f>
        <v/>
      </c>
      <c r="O32" s="16" t="inlineStr">
        <is>
          <t>OK</t>
        </is>
      </c>
      <c r="P32" s="13" t="inlineStr"/>
    </row>
    <row r="33">
      <c r="A33" s="12" t="inlineStr">
        <is>
          <t>5.03</t>
        </is>
      </c>
      <c r="B33" s="13" t="inlineStr">
        <is>
          <t>Power supply, 12 V dc</t>
        </is>
      </c>
      <c r="C33" s="13" t="inlineStr">
        <is>
          <t>2 A, barrel jack to match board</t>
        </is>
      </c>
      <c r="D33" s="17" t="n">
        <v>1</v>
      </c>
      <c r="E33" s="12" t="n">
        <v>1</v>
      </c>
      <c r="F33" s="13" t="inlineStr">
        <is>
          <t>Power</t>
        </is>
      </c>
      <c r="G33" s="13" t="inlineStr"/>
      <c r="H33" s="12" t="inlineStr">
        <is>
          <t>–</t>
        </is>
      </c>
      <c r="I33" s="12" t="inlineStr">
        <is>
          <t>Search links only</t>
        </is>
      </c>
      <c r="J33" s="14" t="inlineStr">
        <is>
          <t>eBay</t>
        </is>
      </c>
      <c r="K33" s="14" t="inlineStr">
        <is>
          <t>Amazon</t>
        </is>
      </c>
      <c r="L33" s="14" t="inlineStr">
        <is>
          <t>AliExpress</t>
        </is>
      </c>
      <c r="M33" s="15" t="n"/>
      <c r="N33" s="15">
        <f>IF(OR(D33="",M33=""),"",D33*M33)</f>
        <v/>
      </c>
      <c r="O33" s="18" t="inlineStr">
        <is>
          <t>CHECK</t>
        </is>
      </c>
      <c r="P33" s="13" t="inlineStr">
        <is>
          <t>2 A is about 24 W: tight for two 1.7 A motors plus the solenoid at full current. Consider 12 V 3-5 A. CAD shows a CUI PJ-063BH jack, so confirm the plug size.</t>
        </is>
      </c>
    </row>
    <row r="34">
      <c r="A34" s="12" t="inlineStr">
        <is>
          <t>5.04</t>
        </is>
      </c>
      <c r="B34" s="13" t="inlineStr">
        <is>
          <t>Motor cable, 4-way</t>
        </is>
      </c>
      <c r="C34" s="13" t="inlineStr">
        <is>
          <t>750 mm, JST PH 2.0</t>
        </is>
      </c>
      <c r="D34" s="17" t="n">
        <v>1</v>
      </c>
      <c r="E34" s="12" t="n"/>
      <c r="F34" s="13" t="inlineStr">
        <is>
          <t>X motor</t>
        </is>
      </c>
      <c r="G34" s="13" t="inlineStr"/>
      <c r="H34" s="12" t="inlineStr">
        <is>
          <t>–</t>
        </is>
      </c>
      <c r="I34" s="12" t="inlineStr">
        <is>
          <t>Search links only</t>
        </is>
      </c>
      <c r="J34" s="14" t="inlineStr">
        <is>
          <t>eBay</t>
        </is>
      </c>
      <c r="K34" s="14" t="inlineStr">
        <is>
          <t>Amazon</t>
        </is>
      </c>
      <c r="L34" s="14" t="inlineStr">
        <is>
          <t>AliExpress</t>
        </is>
      </c>
      <c r="M34" s="15" t="n"/>
      <c r="N34" s="15">
        <f>IF(OR(D34="",M34=""),"",D34*M34)</f>
        <v/>
      </c>
      <c r="O34" s="18" t="inlineStr">
        <is>
          <t>CHECK</t>
        </is>
      </c>
      <c r="P34" s="13" t="inlineStr">
        <is>
          <t>Missing from the old master. JST PH contacts take roughly 24-30 AWG, not the 16 AWG written in the BOM; confirm wire gauge and connector.</t>
        </is>
      </c>
    </row>
    <row r="35">
      <c r="A35" s="12" t="inlineStr">
        <is>
          <t>5.05</t>
        </is>
      </c>
      <c r="B35" s="13" t="inlineStr">
        <is>
          <t>Motor cable, 4-way</t>
        </is>
      </c>
      <c r="C35" s="13" t="inlineStr">
        <is>
          <t>500 mm, JST PH 2.0</t>
        </is>
      </c>
      <c r="D35" s="17" t="n">
        <v>1</v>
      </c>
      <c r="E35" s="12" t="n"/>
      <c r="F35" s="13" t="inlineStr">
        <is>
          <t>Y motor</t>
        </is>
      </c>
      <c r="G35" s="13" t="inlineStr"/>
      <c r="H35" s="12" t="inlineStr">
        <is>
          <t>–</t>
        </is>
      </c>
      <c r="I35" s="12" t="inlineStr">
        <is>
          <t>Search links only</t>
        </is>
      </c>
      <c r="J35" s="14" t="inlineStr">
        <is>
          <t>eBay</t>
        </is>
      </c>
      <c r="K35" s="14" t="inlineStr">
        <is>
          <t>Amazon</t>
        </is>
      </c>
      <c r="L35" s="14" t="inlineStr">
        <is>
          <t>AliExpress</t>
        </is>
      </c>
      <c r="M35" s="15" t="n"/>
      <c r="N35" s="15">
        <f>IF(OR(D35="",M35=""),"",D35*M35)</f>
        <v/>
      </c>
      <c r="O35" s="18" t="inlineStr">
        <is>
          <t>CHECK</t>
        </is>
      </c>
      <c r="P35" s="13" t="inlineStr">
        <is>
          <t>As above.</t>
        </is>
      </c>
    </row>
    <row r="36">
      <c r="A36" s="12" t="inlineStr">
        <is>
          <t>5.06</t>
        </is>
      </c>
      <c r="B36" s="13" t="inlineStr">
        <is>
          <t>Solenoid cable, 3-way</t>
        </is>
      </c>
      <c r="C36" s="13" t="inlineStr">
        <is>
          <t>1100 mm, JST PH 2.0</t>
        </is>
      </c>
      <c r="D36" s="17" t="n">
        <v>1</v>
      </c>
      <c r="E36" s="12" t="n">
        <v>1</v>
      </c>
      <c r="F36" s="13" t="inlineStr">
        <is>
          <t>Solenoid</t>
        </is>
      </c>
      <c r="G36" s="13" t="inlineStr"/>
      <c r="H36" s="12" t="inlineStr">
        <is>
          <t>–</t>
        </is>
      </c>
      <c r="I36" s="12" t="inlineStr">
        <is>
          <t>Search links only</t>
        </is>
      </c>
      <c r="J36" s="14" t="inlineStr">
        <is>
          <t>eBay</t>
        </is>
      </c>
      <c r="K36" s="14" t="inlineStr">
        <is>
          <t>Amazon</t>
        </is>
      </c>
      <c r="L36" s="14" t="inlineStr">
        <is>
          <t>AliExpress</t>
        </is>
      </c>
      <c r="M36" s="15" t="n"/>
      <c r="N36" s="15">
        <f>IF(OR(D36="",M36=""),"",D36*M36)</f>
        <v/>
      </c>
      <c r="O36" s="18" t="inlineStr">
        <is>
          <t>CHECK</t>
        </is>
      </c>
      <c r="P36" s="13" t="inlineStr">
        <is>
          <t>As above.</t>
        </is>
      </c>
    </row>
    <row r="37">
      <c r="A37" s="12" t="inlineStr">
        <is>
          <t>5.07</t>
        </is>
      </c>
      <c r="B37" s="13" t="inlineStr">
        <is>
          <t>Optical endstop</t>
        </is>
      </c>
      <c r="C37" s="13" t="inlineStr">
        <is>
          <t>3-pin module, voltage to match board</t>
        </is>
      </c>
      <c r="D37" s="17" t="n">
        <v>2</v>
      </c>
      <c r="E37" s="12" t="n"/>
      <c r="F37" s="13" t="inlineStr">
        <is>
          <t>X and Y limits</t>
        </is>
      </c>
      <c r="G37" s="13" t="inlineStr"/>
      <c r="H37" s="12" t="inlineStr">
        <is>
          <t>–</t>
        </is>
      </c>
      <c r="I37" s="12" t="inlineStr">
        <is>
          <t>Search links only</t>
        </is>
      </c>
      <c r="J37" s="14" t="inlineStr">
        <is>
          <t>eBay</t>
        </is>
      </c>
      <c r="K37" s="14" t="inlineStr">
        <is>
          <t>Amazon</t>
        </is>
      </c>
      <c r="L37" s="14" t="inlineStr">
        <is>
          <t>AliExpress</t>
        </is>
      </c>
      <c r="M37" s="15" t="n"/>
      <c r="N37" s="15">
        <f>IF(OR(D37="",M37=""),"",D37*M37)</f>
        <v/>
      </c>
      <c r="O37" s="19" t="inlineStr">
        <is>
          <t>NEW</t>
        </is>
      </c>
      <c r="P37" s="13" t="inlineStr">
        <is>
          <t>Not in the BOM, but the CAD ('Flat Opical Endstop Mount') and STLs (Xx_Endstop, Y_Endstop_Mount, XY_Endstop_Pegger) show endstops. Confirm type and quantity.</t>
        </is>
      </c>
    </row>
    <row r="38">
      <c r="A38" s="12" t="inlineStr">
        <is>
          <t>5.08</t>
        </is>
      </c>
      <c r="B38" s="13" t="inlineStr">
        <is>
          <t>Nylon standoff</t>
        </is>
      </c>
      <c r="C38" s="13" t="inlineStr">
        <is>
          <t>M3, 20 mm</t>
        </is>
      </c>
      <c r="D38" s="17" t="n">
        <v>2</v>
      </c>
      <c r="E38" s="12" t="n"/>
      <c r="F38" s="13" t="inlineStr">
        <is>
          <t>Electronics enclosure</t>
        </is>
      </c>
      <c r="G38" s="13" t="inlineStr"/>
      <c r="H38" s="12" t="inlineStr">
        <is>
          <t>–</t>
        </is>
      </c>
      <c r="I38" s="12" t="inlineStr">
        <is>
          <t>Search links only</t>
        </is>
      </c>
      <c r="J38" s="14" t="inlineStr">
        <is>
          <t>eBay</t>
        </is>
      </c>
      <c r="K38" s="14" t="inlineStr">
        <is>
          <t>Amazon</t>
        </is>
      </c>
      <c r="L38" s="14" t="inlineStr">
        <is>
          <t>AliExpress</t>
        </is>
      </c>
      <c r="M38" s="15" t="n"/>
      <c r="N38" s="15">
        <f>IF(OR(D38="",M38=""),"",D38*M38)</f>
        <v/>
      </c>
      <c r="O38" s="19" t="inlineStr">
        <is>
          <t>NEW</t>
        </is>
      </c>
      <c r="P38" s="13" t="inlineStr">
        <is>
          <t>Only appeared in the Electronics sub-assembly, not the master.</t>
        </is>
      </c>
    </row>
    <row r="39" ht="20" customHeight="1">
      <c r="A39" s="11" t="inlineStr">
        <is>
          <t>6  CABLE MANAGEMENT &amp; MISC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</row>
    <row r="40">
      <c r="A40" s="12" t="inlineStr">
        <is>
          <t>6.01</t>
        </is>
      </c>
      <c r="B40" s="13" t="inlineStr">
        <is>
          <t>Cable chain</t>
        </is>
      </c>
      <c r="C40" s="13" t="inlineStr">
        <is>
          <t>7 x 7 mm inner, 1 m with end connectors</t>
        </is>
      </c>
      <c r="D40" s="12" t="n">
        <v>2</v>
      </c>
      <c r="E40" s="12" t="n">
        <v>2</v>
      </c>
      <c r="F40" s="13" t="inlineStr">
        <is>
          <t>Y right and carriage</t>
        </is>
      </c>
      <c r="G40" s="13" t="inlineStr">
        <is>
          <t>The Pi Hut</t>
        </is>
      </c>
      <c r="H40" s="14" t="inlineStr">
        <is>
          <t>Open page</t>
        </is>
      </c>
      <c r="I40" s="12" t="inlineStr">
        <is>
          <t>Page opened</t>
        </is>
      </c>
      <c r="J40" s="14" t="inlineStr">
        <is>
          <t>eBay</t>
        </is>
      </c>
      <c r="K40" s="14" t="inlineStr">
        <is>
          <t>Amazon</t>
        </is>
      </c>
      <c r="L40" s="14" t="inlineStr">
        <is>
          <t>AliExpress</t>
        </is>
      </c>
      <c r="M40" s="15" t="n">
        <v>6</v>
      </c>
      <c r="N40" s="15">
        <f>IF(OR(D40="",M40=""),"",D40*M40)</f>
        <v/>
      </c>
      <c r="O40" s="16" t="inlineStr">
        <is>
          <t>OK</t>
        </is>
      </c>
      <c r="P40" s="13" t="inlineStr">
        <is>
          <t>£6.00 per metre inc VAT, in stock when checked. Page says end connectors are included.</t>
        </is>
      </c>
    </row>
    <row r="41">
      <c r="A41" s="12" t="inlineStr">
        <is>
          <t>6.02</t>
        </is>
      </c>
      <c r="B41" s="13" t="inlineStr">
        <is>
          <t>Cable ties</t>
        </is>
      </c>
      <c r="C41" s="13" t="inlineStr">
        <is>
          <t>100 x 2.5 mm</t>
        </is>
      </c>
      <c r="D41" s="17" t="n"/>
      <c r="E41" s="12" t="n"/>
      <c r="F41" s="13" t="inlineStr">
        <is>
          <t>General</t>
        </is>
      </c>
      <c r="G41" s="13" t="inlineStr"/>
      <c r="H41" s="12" t="inlineStr">
        <is>
          <t>–</t>
        </is>
      </c>
      <c r="I41" s="12" t="inlineStr">
        <is>
          <t>Search links only</t>
        </is>
      </c>
      <c r="J41" s="14" t="inlineStr">
        <is>
          <t>eBay</t>
        </is>
      </c>
      <c r="K41" s="14" t="inlineStr">
        <is>
          <t>Amazon</t>
        </is>
      </c>
      <c r="L41" s="14" t="inlineStr">
        <is>
          <t>AliExpress</t>
        </is>
      </c>
      <c r="M41" s="15" t="n"/>
      <c r="N41" s="15">
        <f>IF(OR(D41="",M41=""),"",D41*M41)</f>
        <v/>
      </c>
      <c r="O41" s="18" t="inlineStr">
        <is>
          <t>CHECK</t>
        </is>
      </c>
      <c r="P41" s="13" t="inlineStr">
        <is>
          <t>No quantity in the old BOM. Add one (a 100 pack is plenty).</t>
        </is>
      </c>
    </row>
    <row r="42">
      <c r="A42" s="12" t="inlineStr">
        <is>
          <t>6.03</t>
        </is>
      </c>
      <c r="B42" s="13" t="inlineStr">
        <is>
          <t>Hex key set</t>
        </is>
      </c>
      <c r="C42" s="13" t="inlineStr">
        <is>
          <t>1.5 / 2 / 2.5 / 3 / 4 mm</t>
        </is>
      </c>
      <c r="D42" s="17" t="n">
        <v>1</v>
      </c>
      <c r="E42" s="12" t="n"/>
      <c r="F42" s="13" t="inlineStr">
        <is>
          <t>Assembly (tool)</t>
        </is>
      </c>
      <c r="G42" s="13" t="inlineStr"/>
      <c r="H42" s="12" t="inlineStr">
        <is>
          <t>–</t>
        </is>
      </c>
      <c r="I42" s="12" t="inlineStr">
        <is>
          <t>Search links only</t>
        </is>
      </c>
      <c r="J42" s="14" t="inlineStr">
        <is>
          <t>eBay</t>
        </is>
      </c>
      <c r="K42" s="14" t="inlineStr">
        <is>
          <t>Amazon</t>
        </is>
      </c>
      <c r="L42" s="14" t="inlineStr">
        <is>
          <t>AliExpress</t>
        </is>
      </c>
      <c r="M42" s="15" t="n"/>
      <c r="N42" s="15">
        <f>IF(OR(D42="",M42=""),"",D42*M42)</f>
        <v/>
      </c>
      <c r="O42" s="20" t="inlineStr">
        <is>
          <t>CHANGED</t>
        </is>
      </c>
      <c r="P42" s="13" t="inlineStr">
        <is>
          <t>Old BOM listed 1.27, 2 and 3 mm keys. The screws here need 1.5 (M2), 2 (M3 countersunk/button), 2.5 (M3 socket), 3 (M5 countersunk/button) and 4 mm (M5 socket).</t>
        </is>
      </c>
    </row>
    <row r="43" ht="20" customHeight="1">
      <c r="A43" s="11" t="inlineStr">
        <is>
          <t>7  FASTENERS – M2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</row>
    <row r="44">
      <c r="A44" s="12" t="inlineStr">
        <is>
          <t>7.01</t>
        </is>
      </c>
      <c r="B44" s="13" t="inlineStr">
        <is>
          <t>Socket head screw</t>
        </is>
      </c>
      <c r="C44" s="13" t="inlineStr">
        <is>
          <t>M2 x 5</t>
        </is>
      </c>
      <c r="D44" s="12" t="n">
        <v>4</v>
      </c>
      <c r="E44" s="12" t="n">
        <v>4</v>
      </c>
      <c r="F44" s="13" t="inlineStr">
        <is>
          <t>Tool head</t>
        </is>
      </c>
      <c r="G44" s="13" t="inlineStr"/>
      <c r="H44" s="12" t="inlineStr">
        <is>
          <t>–</t>
        </is>
      </c>
      <c r="I44" s="12" t="inlineStr">
        <is>
          <t>Search links only</t>
        </is>
      </c>
      <c r="J44" s="14" t="inlineStr">
        <is>
          <t>eBay</t>
        </is>
      </c>
      <c r="K44" s="14" t="inlineStr">
        <is>
          <t>Amazon</t>
        </is>
      </c>
      <c r="L44" s="14" t="inlineStr">
        <is>
          <t>AliExpress</t>
        </is>
      </c>
      <c r="M44" s="15" t="n"/>
      <c r="N44" s="15">
        <f>IF(OR(D44="",M44=""),"",D44*M44)</f>
        <v/>
      </c>
      <c r="O44" s="16" t="inlineStr">
        <is>
          <t>OK</t>
        </is>
      </c>
      <c r="P44" s="13" t="inlineStr"/>
    </row>
    <row r="45">
      <c r="A45" s="12" t="inlineStr">
        <is>
          <t>7.02</t>
        </is>
      </c>
      <c r="B45" s="13" t="inlineStr">
        <is>
          <t>Countersunk screw</t>
        </is>
      </c>
      <c r="C45" s="13" t="inlineStr">
        <is>
          <t>M2 x 6</t>
        </is>
      </c>
      <c r="D45" s="17" t="n">
        <v>4</v>
      </c>
      <c r="E45" s="12" t="n">
        <v>4</v>
      </c>
      <c r="F45" s="13" t="inlineStr">
        <is>
          <t>Tool head – pen holder to block</t>
        </is>
      </c>
      <c r="G45" s="13" t="inlineStr"/>
      <c r="H45" s="12" t="inlineStr">
        <is>
          <t>–</t>
        </is>
      </c>
      <c r="I45" s="12" t="inlineStr">
        <is>
          <t>Search links only</t>
        </is>
      </c>
      <c r="J45" s="14" t="inlineStr">
        <is>
          <t>eBay</t>
        </is>
      </c>
      <c r="K45" s="14" t="inlineStr">
        <is>
          <t>Amazon</t>
        </is>
      </c>
      <c r="L45" s="14" t="inlineStr">
        <is>
          <t>AliExpress</t>
        </is>
      </c>
      <c r="M45" s="15" t="n"/>
      <c r="N45" s="15">
        <f>IF(OR(D45="",M45=""),"",D45*M45)</f>
        <v/>
      </c>
      <c r="O45" s="18" t="inlineStr">
        <is>
          <t>CHECK</t>
        </is>
      </c>
      <c r="P45" s="13" t="inlineStr">
        <is>
          <t>Old master says 5 mm, the tool-head block says 6 mm.</t>
        </is>
      </c>
    </row>
    <row r="46">
      <c r="A46" s="12" t="inlineStr">
        <is>
          <t>7.03</t>
        </is>
      </c>
      <c r="B46" s="13" t="inlineStr">
        <is>
          <t>Heat-set insert</t>
        </is>
      </c>
      <c r="C46" s="13" t="inlineStr">
        <is>
          <t>M2 (length to confirm)</t>
        </is>
      </c>
      <c r="D46" s="17" t="n">
        <v>4</v>
      </c>
      <c r="E46" s="12" t="n">
        <v>4</v>
      </c>
      <c r="F46" s="13" t="inlineStr">
        <is>
          <t>Tool head</t>
        </is>
      </c>
      <c r="G46" s="13" t="inlineStr"/>
      <c r="H46" s="12" t="inlineStr">
        <is>
          <t>–</t>
        </is>
      </c>
      <c r="I46" s="12" t="inlineStr">
        <is>
          <t>Search links only</t>
        </is>
      </c>
      <c r="J46" s="14" t="inlineStr">
        <is>
          <t>eBay</t>
        </is>
      </c>
      <c r="K46" s="14" t="inlineStr">
        <is>
          <t>Amazon</t>
        </is>
      </c>
      <c r="L46" s="14" t="inlineStr">
        <is>
          <t>AliExpress</t>
        </is>
      </c>
      <c r="M46" s="15" t="n"/>
      <c r="N46" s="15">
        <f>IF(OR(D46="",M46=""),"",D46*M46)</f>
        <v/>
      </c>
      <c r="O46" s="18" t="inlineStr">
        <is>
          <t>CHECK</t>
        </is>
      </c>
      <c r="P46" s="13" t="inlineStr">
        <is>
          <t>Old master says m2x3; tool-head block says m2x6. Confirm length.</t>
        </is>
      </c>
    </row>
    <row r="47" ht="20" customHeight="1">
      <c r="A47" s="11" t="inlineStr">
        <is>
          <t>8  FASTENERS – M3</t>
        </is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</row>
    <row r="48">
      <c r="A48" s="12" t="inlineStr">
        <is>
          <t>8.01</t>
        </is>
      </c>
      <c r="B48" s="13" t="inlineStr">
        <is>
          <t>Countersunk screw</t>
        </is>
      </c>
      <c r="C48" s="13" t="inlineStr">
        <is>
          <t>M3 x 5</t>
        </is>
      </c>
      <c r="D48" s="17" t="n">
        <v>11</v>
      </c>
      <c r="E48" s="12" t="n">
        <v>10</v>
      </c>
      <c r="F48" s="13" t="inlineStr">
        <is>
          <t>Y right, carriage, tool head</t>
        </is>
      </c>
      <c r="G48" s="13" t="inlineStr"/>
      <c r="H48" s="12" t="inlineStr">
        <is>
          <t>–</t>
        </is>
      </c>
      <c r="I48" s="12" t="inlineStr">
        <is>
          <t>Search links only</t>
        </is>
      </c>
      <c r="J48" s="14" t="inlineStr">
        <is>
          <t>eBay</t>
        </is>
      </c>
      <c r="K48" s="14" t="inlineStr">
        <is>
          <t>Amazon</t>
        </is>
      </c>
      <c r="L48" s="14" t="inlineStr">
        <is>
          <t>AliExpress</t>
        </is>
      </c>
      <c r="M48" s="15" t="n"/>
      <c r="N48" s="15">
        <f>IF(OR(D48="",M48=""),"",D48*M48)</f>
        <v/>
      </c>
      <c r="O48" s="20" t="inlineStr">
        <is>
          <t>CHANGED</t>
        </is>
      </c>
      <c r="P48" s="13" t="inlineStr"/>
    </row>
    <row r="49">
      <c r="A49" s="12" t="inlineStr">
        <is>
          <t>8.02</t>
        </is>
      </c>
      <c r="B49" s="13" t="inlineStr">
        <is>
          <t>Countersunk screw</t>
        </is>
      </c>
      <c r="C49" s="13" t="inlineStr">
        <is>
          <t>M3 x 6</t>
        </is>
      </c>
      <c r="D49" s="17" t="n">
        <v>21</v>
      </c>
      <c r="E49" s="12" t="n">
        <v>31</v>
      </c>
      <c r="F49" s="13" t="inlineStr">
        <is>
          <t>Y left/right, carriage, tool head, electronics</t>
        </is>
      </c>
      <c r="G49" s="13" t="inlineStr"/>
      <c r="H49" s="12" t="inlineStr">
        <is>
          <t>–</t>
        </is>
      </c>
      <c r="I49" s="12" t="inlineStr">
        <is>
          <t>Search links only</t>
        </is>
      </c>
      <c r="J49" s="14" t="inlineStr">
        <is>
          <t>eBay</t>
        </is>
      </c>
      <c r="K49" s="14" t="inlineStr">
        <is>
          <t>Amazon</t>
        </is>
      </c>
      <c r="L49" s="14" t="inlineStr">
        <is>
          <t>AliExpress</t>
        </is>
      </c>
      <c r="M49" s="15" t="n"/>
      <c r="N49" s="15">
        <f>IF(OR(D49="",M49=""),"",D49*M49)</f>
        <v/>
      </c>
      <c r="O49" s="20" t="inlineStr">
        <is>
          <t>CHANGED</t>
        </is>
      </c>
      <c r="P49" s="13" t="inlineStr">
        <is>
          <t>Old master had 10 more than the sub-assemblies use.</t>
        </is>
      </c>
    </row>
    <row r="50">
      <c r="A50" s="12" t="inlineStr">
        <is>
          <t>8.03</t>
        </is>
      </c>
      <c r="B50" s="13" t="inlineStr">
        <is>
          <t>Countersunk screw</t>
        </is>
      </c>
      <c r="C50" s="13" t="inlineStr">
        <is>
          <t>M3 x 8</t>
        </is>
      </c>
      <c r="D50" s="17" t="n">
        <v>2</v>
      </c>
      <c r="E50" s="12" t="n">
        <v>4</v>
      </c>
      <c r="F50" s="13" t="inlineStr">
        <is>
          <t>Y right</t>
        </is>
      </c>
      <c r="G50" s="13" t="inlineStr"/>
      <c r="H50" s="12" t="inlineStr">
        <is>
          <t>–</t>
        </is>
      </c>
      <c r="I50" s="12" t="inlineStr">
        <is>
          <t>Search links only</t>
        </is>
      </c>
      <c r="J50" s="14" t="inlineStr">
        <is>
          <t>eBay</t>
        </is>
      </c>
      <c r="K50" s="14" t="inlineStr">
        <is>
          <t>Amazon</t>
        </is>
      </c>
      <c r="L50" s="14" t="inlineStr">
        <is>
          <t>AliExpress</t>
        </is>
      </c>
      <c r="M50" s="15" t="n"/>
      <c r="N50" s="15">
        <f>IF(OR(D50="",M50=""),"",D50*M50)</f>
        <v/>
      </c>
      <c r="O50" s="20" t="inlineStr">
        <is>
          <t>CHANGED</t>
        </is>
      </c>
      <c r="P50" s="13" t="inlineStr"/>
    </row>
    <row r="51">
      <c r="A51" s="12" t="inlineStr">
        <is>
          <t>8.04</t>
        </is>
      </c>
      <c r="B51" s="13" t="inlineStr">
        <is>
          <t>Countersunk screw</t>
        </is>
      </c>
      <c r="C51" s="13" t="inlineStr">
        <is>
          <t>M3 x 12</t>
        </is>
      </c>
      <c r="D51" s="17" t="n">
        <v>4</v>
      </c>
      <c r="E51" s="12" t="n"/>
      <c r="F51" s="13" t="inlineStr">
        <is>
          <t>X/Y motor bracket clamp</t>
        </is>
      </c>
      <c r="G51" s="13" t="inlineStr"/>
      <c r="H51" s="12" t="inlineStr">
        <is>
          <t>–</t>
        </is>
      </c>
      <c r="I51" s="12" t="inlineStr">
        <is>
          <t>Search links only</t>
        </is>
      </c>
      <c r="J51" s="14" t="inlineStr">
        <is>
          <t>eBay</t>
        </is>
      </c>
      <c r="K51" s="14" t="inlineStr">
        <is>
          <t>Amazon</t>
        </is>
      </c>
      <c r="L51" s="14" t="inlineStr">
        <is>
          <t>AliExpress</t>
        </is>
      </c>
      <c r="M51" s="15" t="n"/>
      <c r="N51" s="15">
        <f>IF(OR(D51="",M51=""),"",D51*M51)</f>
        <v/>
      </c>
      <c r="O51" s="19" t="inlineStr">
        <is>
          <t>NEW</t>
        </is>
      </c>
      <c r="P51" s="13" t="inlineStr"/>
    </row>
    <row r="52">
      <c r="A52" s="12" t="inlineStr">
        <is>
          <t>8.05</t>
        </is>
      </c>
      <c r="B52" s="13" t="inlineStr">
        <is>
          <t>Countersunk screw</t>
        </is>
      </c>
      <c r="C52" s="13" t="inlineStr">
        <is>
          <t>M3 x 20</t>
        </is>
      </c>
      <c r="D52" s="17" t="n">
        <v>2</v>
      </c>
      <c r="E52" s="12" t="n"/>
      <c r="F52" s="13" t="inlineStr">
        <is>
          <t>Y left/right bracket fixing</t>
        </is>
      </c>
      <c r="G52" s="13" t="inlineStr"/>
      <c r="H52" s="12" t="inlineStr">
        <is>
          <t>–</t>
        </is>
      </c>
      <c r="I52" s="12" t="inlineStr">
        <is>
          <t>Search links only</t>
        </is>
      </c>
      <c r="J52" s="14" t="inlineStr">
        <is>
          <t>eBay</t>
        </is>
      </c>
      <c r="K52" s="14" t="inlineStr">
        <is>
          <t>Amazon</t>
        </is>
      </c>
      <c r="L52" s="14" t="inlineStr">
        <is>
          <t>AliExpress</t>
        </is>
      </c>
      <c r="M52" s="15" t="n"/>
      <c r="N52" s="15">
        <f>IF(OR(D52="",M52=""),"",D52*M52)</f>
        <v/>
      </c>
      <c r="O52" s="19" t="inlineStr">
        <is>
          <t>NEW</t>
        </is>
      </c>
      <c r="P52" s="13" t="inlineStr">
        <is>
          <t>Old master listed M3 button x 20 (qty 2) with no matching use; assumed to be this part. Confirm head type.</t>
        </is>
      </c>
    </row>
    <row r="53">
      <c r="A53" s="12" t="inlineStr">
        <is>
          <t>8.06</t>
        </is>
      </c>
      <c r="B53" s="13" t="inlineStr">
        <is>
          <t>Countersunk screw</t>
        </is>
      </c>
      <c r="C53" s="13" t="inlineStr">
        <is>
          <t>M3 x 30</t>
        </is>
      </c>
      <c r="D53" s="17" t="n">
        <v>4</v>
      </c>
      <c r="E53" s="12" t="n"/>
      <c r="F53" s="13" t="inlineStr">
        <is>
          <t>X/Y motor mount</t>
        </is>
      </c>
      <c r="G53" s="13" t="inlineStr"/>
      <c r="H53" s="12" t="inlineStr">
        <is>
          <t>–</t>
        </is>
      </c>
      <c r="I53" s="12" t="inlineStr">
        <is>
          <t>Search links only</t>
        </is>
      </c>
      <c r="J53" s="14" t="inlineStr">
        <is>
          <t>eBay</t>
        </is>
      </c>
      <c r="K53" s="14" t="inlineStr">
        <is>
          <t>Amazon</t>
        </is>
      </c>
      <c r="L53" s="14" t="inlineStr">
        <is>
          <t>AliExpress</t>
        </is>
      </c>
      <c r="M53" s="15" t="n"/>
      <c r="N53" s="15">
        <f>IF(OR(D53="",M53=""),"",D53*M53)</f>
        <v/>
      </c>
      <c r="O53" s="19" t="inlineStr">
        <is>
          <t>NEW</t>
        </is>
      </c>
      <c r="P53" s="13" t="inlineStr"/>
    </row>
    <row r="54">
      <c r="A54" s="12" t="inlineStr">
        <is>
          <t>8.07</t>
        </is>
      </c>
      <c r="B54" s="13" t="inlineStr">
        <is>
          <t>Button head screw</t>
        </is>
      </c>
      <c r="C54" s="13" t="inlineStr">
        <is>
          <t>M3 x 6</t>
        </is>
      </c>
      <c r="D54" s="12" t="n">
        <v>4</v>
      </c>
      <c r="E54" s="12" t="n">
        <v>4</v>
      </c>
      <c r="F54" s="13" t="inlineStr">
        <is>
          <t>Tool head, electronics</t>
        </is>
      </c>
      <c r="G54" s="13" t="inlineStr"/>
      <c r="H54" s="12" t="inlineStr">
        <is>
          <t>–</t>
        </is>
      </c>
      <c r="I54" s="12" t="inlineStr">
        <is>
          <t>Search links only</t>
        </is>
      </c>
      <c r="J54" s="14" t="inlineStr">
        <is>
          <t>eBay</t>
        </is>
      </c>
      <c r="K54" s="14" t="inlineStr">
        <is>
          <t>Amazon</t>
        </is>
      </c>
      <c r="L54" s="14" t="inlineStr">
        <is>
          <t>AliExpress</t>
        </is>
      </c>
      <c r="M54" s="15" t="n"/>
      <c r="N54" s="15">
        <f>IF(OR(D54="",M54=""),"",D54*M54)</f>
        <v/>
      </c>
      <c r="O54" s="16" t="inlineStr">
        <is>
          <t>OK</t>
        </is>
      </c>
      <c r="P54" s="13" t="inlineStr"/>
    </row>
    <row r="55">
      <c r="A55" s="12" t="inlineStr">
        <is>
          <t>8.08</t>
        </is>
      </c>
      <c r="B55" s="13" t="inlineStr">
        <is>
          <t>Button head screw</t>
        </is>
      </c>
      <c r="C55" s="13" t="inlineStr">
        <is>
          <t>M3 x 8</t>
        </is>
      </c>
      <c r="D55" s="17" t="n">
        <v>1</v>
      </c>
      <c r="E55" s="12" t="n"/>
      <c r="F55" s="13" t="inlineStr">
        <is>
          <t>Tool head – pivot arm</t>
        </is>
      </c>
      <c r="G55" s="13" t="inlineStr"/>
      <c r="H55" s="12" t="inlineStr">
        <is>
          <t>–</t>
        </is>
      </c>
      <c r="I55" s="12" t="inlineStr">
        <is>
          <t>Search links only</t>
        </is>
      </c>
      <c r="J55" s="14" t="inlineStr">
        <is>
          <t>eBay</t>
        </is>
      </c>
      <c r="K55" s="14" t="inlineStr">
        <is>
          <t>Amazon</t>
        </is>
      </c>
      <c r="L55" s="14" t="inlineStr">
        <is>
          <t>AliExpress</t>
        </is>
      </c>
      <c r="M55" s="15" t="n"/>
      <c r="N55" s="15">
        <f>IF(OR(D55="",M55=""),"",D55*M55)</f>
        <v/>
      </c>
      <c r="O55" s="19" t="inlineStr">
        <is>
          <t>NEW</t>
        </is>
      </c>
      <c r="P55" s="13" t="inlineStr"/>
    </row>
    <row r="56">
      <c r="A56" s="12" t="inlineStr">
        <is>
          <t>8.09</t>
        </is>
      </c>
      <c r="B56" s="13" t="inlineStr">
        <is>
          <t>Button head screw</t>
        </is>
      </c>
      <c r="C56" s="13" t="inlineStr">
        <is>
          <t>M3 x 12</t>
        </is>
      </c>
      <c r="D56" s="17" t="n">
        <v>4</v>
      </c>
      <c r="E56" s="12" t="n"/>
      <c r="F56" s="13" t="inlineStr">
        <is>
          <t>Frame – feet</t>
        </is>
      </c>
      <c r="G56" s="13" t="inlineStr"/>
      <c r="H56" s="12" t="inlineStr">
        <is>
          <t>–</t>
        </is>
      </c>
      <c r="I56" s="12" t="inlineStr">
        <is>
          <t>Search links only</t>
        </is>
      </c>
      <c r="J56" s="14" t="inlineStr">
        <is>
          <t>eBay</t>
        </is>
      </c>
      <c r="K56" s="14" t="inlineStr">
        <is>
          <t>Amazon</t>
        </is>
      </c>
      <c r="L56" s="14" t="inlineStr">
        <is>
          <t>AliExpress</t>
        </is>
      </c>
      <c r="M56" s="15" t="n"/>
      <c r="N56" s="15">
        <f>IF(OR(D56="",M56=""),"",D56*M56)</f>
        <v/>
      </c>
      <c r="O56" s="19" t="inlineStr">
        <is>
          <t>NEW</t>
        </is>
      </c>
      <c r="P56" s="13" t="inlineStr"/>
    </row>
    <row r="57">
      <c r="A57" s="12" t="inlineStr">
        <is>
          <t>8.10</t>
        </is>
      </c>
      <c r="B57" s="13" t="inlineStr">
        <is>
          <t>Button head screw</t>
        </is>
      </c>
      <c r="C57" s="13" t="inlineStr">
        <is>
          <t>M3 x 25</t>
        </is>
      </c>
      <c r="D57" s="12" t="n">
        <v>2</v>
      </c>
      <c r="E57" s="12" t="n">
        <v>2</v>
      </c>
      <c r="F57" s="13" t="inlineStr">
        <is>
          <t>Carriage tensioner</t>
        </is>
      </c>
      <c r="G57" s="13" t="inlineStr"/>
      <c r="H57" s="12" t="inlineStr">
        <is>
          <t>–</t>
        </is>
      </c>
      <c r="I57" s="12" t="inlineStr">
        <is>
          <t>Search links only</t>
        </is>
      </c>
      <c r="J57" s="14" t="inlineStr">
        <is>
          <t>eBay</t>
        </is>
      </c>
      <c r="K57" s="14" t="inlineStr">
        <is>
          <t>Amazon</t>
        </is>
      </c>
      <c r="L57" s="14" t="inlineStr">
        <is>
          <t>AliExpress</t>
        </is>
      </c>
      <c r="M57" s="15" t="n"/>
      <c r="N57" s="15">
        <f>IF(OR(D57="",M57=""),"",D57*M57)</f>
        <v/>
      </c>
      <c r="O57" s="16" t="inlineStr">
        <is>
          <t>OK</t>
        </is>
      </c>
      <c r="P57" s="13" t="inlineStr">
        <is>
          <t>Old master description wrongly says 6 mm.</t>
        </is>
      </c>
    </row>
    <row r="58">
      <c r="A58" s="12" t="inlineStr">
        <is>
          <t>8.11</t>
        </is>
      </c>
      <c r="B58" s="13" t="inlineStr">
        <is>
          <t>Socket head screw</t>
        </is>
      </c>
      <c r="C58" s="13" t="inlineStr">
        <is>
          <t>M3 x 8</t>
        </is>
      </c>
      <c r="D58" s="12" t="n">
        <v>12</v>
      </c>
      <c r="E58" s="12" t="n">
        <v>12</v>
      </c>
      <c r="F58" s="13" t="inlineStr">
        <is>
          <t>Frame – rails</t>
        </is>
      </c>
      <c r="G58" s="13" t="inlineStr"/>
      <c r="H58" s="12" t="inlineStr">
        <is>
          <t>–</t>
        </is>
      </c>
      <c r="I58" s="12" t="inlineStr">
        <is>
          <t>Search links only</t>
        </is>
      </c>
      <c r="J58" s="14" t="inlineStr">
        <is>
          <t>eBay</t>
        </is>
      </c>
      <c r="K58" s="14" t="inlineStr">
        <is>
          <t>Amazon</t>
        </is>
      </c>
      <c r="L58" s="14" t="inlineStr">
        <is>
          <t>AliExpress</t>
        </is>
      </c>
      <c r="M58" s="15" t="n"/>
      <c r="N58" s="15">
        <f>IF(OR(D58="",M58=""),"",D58*M58)</f>
        <v/>
      </c>
      <c r="O58" s="16" t="inlineStr">
        <is>
          <t>OK</t>
        </is>
      </c>
      <c r="P58" s="13" t="inlineStr"/>
    </row>
    <row r="59">
      <c r="A59" s="12" t="inlineStr">
        <is>
          <t>8.12</t>
        </is>
      </c>
      <c r="B59" s="13" t="inlineStr">
        <is>
          <t>Shoulder / smooth-shank screw</t>
        </is>
      </c>
      <c r="C59" s="13" t="inlineStr">
        <is>
          <t>M3 thread, 8 mm smooth shank, 12 mm</t>
        </is>
      </c>
      <c r="D59" s="17" t="n">
        <v>1</v>
      </c>
      <c r="E59" s="12" t="n">
        <v>1</v>
      </c>
      <c r="F59" s="13" t="inlineStr">
        <is>
          <t>Tool head – pivot</t>
        </is>
      </c>
      <c r="G59" s="13" t="inlineStr"/>
      <c r="H59" s="12" t="inlineStr">
        <is>
          <t>–</t>
        </is>
      </c>
      <c r="I59" s="12" t="inlineStr">
        <is>
          <t>Search links only</t>
        </is>
      </c>
      <c r="J59" s="14" t="inlineStr">
        <is>
          <t>eBay</t>
        </is>
      </c>
      <c r="K59" s="14" t="inlineStr">
        <is>
          <t>Amazon</t>
        </is>
      </c>
      <c r="L59" s="14" t="inlineStr">
        <is>
          <t>AliExpress</t>
        </is>
      </c>
      <c r="M59" s="15" t="n"/>
      <c r="N59" s="15">
        <f>IF(OR(D59="",M59=""),"",D59*M59)</f>
        <v/>
      </c>
      <c r="O59" s="18" t="inlineStr">
        <is>
          <t>CHECK</t>
        </is>
      </c>
      <c r="P59" s="13" t="inlineStr">
        <is>
          <t>Tool-head block says 'custom thread with 8 mm smooth shank'; confirm exact part.</t>
        </is>
      </c>
    </row>
    <row r="60">
      <c r="A60" s="12" t="inlineStr">
        <is>
          <t>8.13</t>
        </is>
      </c>
      <c r="B60" s="13" t="inlineStr">
        <is>
          <t>Thumb screw</t>
        </is>
      </c>
      <c r="C60" s="13" t="inlineStr">
        <is>
          <t>M3 x 24</t>
        </is>
      </c>
      <c r="D60" s="17" t="n">
        <v>1</v>
      </c>
      <c r="E60" s="12" t="n">
        <v>2</v>
      </c>
      <c r="F60" s="13" t="inlineStr">
        <is>
          <t>Tool head – pen clamp</t>
        </is>
      </c>
      <c r="G60" s="13" t="inlineStr"/>
      <c r="H60" s="12" t="inlineStr">
        <is>
          <t>–</t>
        </is>
      </c>
      <c r="I60" s="12" t="inlineStr">
        <is>
          <t>Search links only</t>
        </is>
      </c>
      <c r="J60" s="14" t="inlineStr">
        <is>
          <t>eBay</t>
        </is>
      </c>
      <c r="K60" s="14" t="inlineStr">
        <is>
          <t>Amazon</t>
        </is>
      </c>
      <c r="L60" s="14" t="inlineStr">
        <is>
          <t>AliExpress</t>
        </is>
      </c>
      <c r="M60" s="15" t="n"/>
      <c r="N60" s="15">
        <f>IF(OR(D60="",M60=""),"",D60*M60)</f>
        <v/>
      </c>
      <c r="O60" s="18" t="inlineStr">
        <is>
          <t>CHECK</t>
        </is>
      </c>
      <c r="P60" s="13" t="inlineStr">
        <is>
          <t>Old master lists two (15 mm and 30 mm); the tool-head block lists one at 24 mm.</t>
        </is>
      </c>
    </row>
    <row r="61">
      <c r="A61" s="12" t="inlineStr">
        <is>
          <t>8.14</t>
        </is>
      </c>
      <c r="B61" s="13" t="inlineStr">
        <is>
          <t>Nyloc nut</t>
        </is>
      </c>
      <c r="C61" s="13" t="inlineStr">
        <is>
          <t>M3</t>
        </is>
      </c>
      <c r="D61" s="17" t="n">
        <v>1</v>
      </c>
      <c r="E61" s="12" t="n"/>
      <c r="F61" s="13" t="inlineStr">
        <is>
          <t>Tool head – solenoid / pivot</t>
        </is>
      </c>
      <c r="G61" s="13" t="inlineStr"/>
      <c r="H61" s="12" t="inlineStr">
        <is>
          <t>–</t>
        </is>
      </c>
      <c r="I61" s="12" t="inlineStr">
        <is>
          <t>Search links only</t>
        </is>
      </c>
      <c r="J61" s="14" t="inlineStr">
        <is>
          <t>eBay</t>
        </is>
      </c>
      <c r="K61" s="14" t="inlineStr">
        <is>
          <t>Amazon</t>
        </is>
      </c>
      <c r="L61" s="14" t="inlineStr">
        <is>
          <t>AliExpress</t>
        </is>
      </c>
      <c r="M61" s="15" t="n"/>
      <c r="N61" s="15">
        <f>IF(OR(D61="",M61=""),"",D61*M61)</f>
        <v/>
      </c>
      <c r="O61" s="19" t="inlineStr">
        <is>
          <t>NEW</t>
        </is>
      </c>
      <c r="P61" s="13" t="inlineStr"/>
    </row>
    <row r="62">
      <c r="A62" s="12" t="inlineStr">
        <is>
          <t>8.15</t>
        </is>
      </c>
      <c r="B62" s="13" t="inlineStr">
        <is>
          <t>Drop-in T-nut</t>
        </is>
      </c>
      <c r="C62" s="13" t="inlineStr">
        <is>
          <t>M3, 20-series</t>
        </is>
      </c>
      <c r="D62" s="17" t="n">
        <v>16</v>
      </c>
      <c r="E62" s="12" t="n">
        <v>36</v>
      </c>
      <c r="F62" s="13" t="inlineStr">
        <is>
          <t>Frame – rails and feet</t>
        </is>
      </c>
      <c r="G62" s="13" t="inlineStr"/>
      <c r="H62" s="12" t="inlineStr">
        <is>
          <t>–</t>
        </is>
      </c>
      <c r="I62" s="12" t="inlineStr">
        <is>
          <t>Search links only</t>
        </is>
      </c>
      <c r="J62" s="14" t="inlineStr">
        <is>
          <t>eBay</t>
        </is>
      </c>
      <c r="K62" s="14" t="inlineStr">
        <is>
          <t>Amazon</t>
        </is>
      </c>
      <c r="L62" s="14" t="inlineStr">
        <is>
          <t>AliExpress</t>
        </is>
      </c>
      <c r="M62" s="15" t="n"/>
      <c r="N62" s="15">
        <f>IF(OR(D62="",M62=""),"",D62*M62)</f>
        <v/>
      </c>
      <c r="O62" s="20" t="inlineStr">
        <is>
          <t>CHANGED</t>
        </is>
      </c>
      <c r="P62" s="13" t="inlineStr">
        <is>
          <t>Sub-assembly total is 16 (4 feet + 12 rails); the old master said 36. Confirm in CAD.</t>
        </is>
      </c>
    </row>
    <row r="63">
      <c r="A63" s="12" t="inlineStr">
        <is>
          <t>8.16</t>
        </is>
      </c>
      <c r="B63" s="13" t="inlineStr">
        <is>
          <t>Heat-set insert</t>
        </is>
      </c>
      <c r="C63" s="13" t="inlineStr">
        <is>
          <t>M3 x 3 mm brass</t>
        </is>
      </c>
      <c r="D63" s="12" t="n">
        <v>26</v>
      </c>
      <c r="E63" s="12" t="n">
        <v>26</v>
      </c>
      <c r="F63" s="13" t="inlineStr">
        <is>
          <t>All printed parts</t>
        </is>
      </c>
      <c r="G63" s="13" t="inlineStr">
        <is>
          <t>The Pi Hut</t>
        </is>
      </c>
      <c r="H63" s="14" t="inlineStr">
        <is>
          <t>Open page</t>
        </is>
      </c>
      <c r="I63" s="12" t="inlineStr">
        <is>
          <t>Page opened</t>
        </is>
      </c>
      <c r="J63" s="14" t="inlineStr">
        <is>
          <t>eBay</t>
        </is>
      </c>
      <c r="K63" s="14" t="inlineStr">
        <is>
          <t>Amazon</t>
        </is>
      </c>
      <c r="L63" s="14" t="inlineStr">
        <is>
          <t>AliExpress</t>
        </is>
      </c>
      <c r="M63" s="15" t="n">
        <v>5.9</v>
      </c>
      <c r="N63" s="15">
        <f>IF(OR(D63="",M63=""),"",D63*M63)</f>
        <v/>
      </c>
      <c r="O63" s="16" t="inlineStr">
        <is>
          <t>OK</t>
        </is>
      </c>
      <c r="P63" s="13" t="inlineStr">
        <is>
          <t>£5.90 for a pack of 50 inc VAT, in stock when checked. One pack covers the 26 needed with spares.</t>
        </is>
      </c>
    </row>
    <row r="64" ht="20" customHeight="1">
      <c r="A64" s="11" t="inlineStr">
        <is>
          <t>9  FASTENERS – M5</t>
        </is>
      </c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</row>
    <row r="65">
      <c r="A65" s="12" t="inlineStr">
        <is>
          <t>9.01</t>
        </is>
      </c>
      <c r="B65" s="13" t="inlineStr">
        <is>
          <t>Countersunk screw</t>
        </is>
      </c>
      <c r="C65" s="13" t="inlineStr">
        <is>
          <t>M5 x 8</t>
        </is>
      </c>
      <c r="D65" s="12" t="n">
        <v>18</v>
      </c>
      <c r="E65" s="12" t="n">
        <v>18</v>
      </c>
      <c r="F65" s="13" t="inlineStr">
        <is>
          <t>Motors, idlers, Y left/right</t>
        </is>
      </c>
      <c r="G65" s="13" t="inlineStr"/>
      <c r="H65" s="12" t="inlineStr">
        <is>
          <t>–</t>
        </is>
      </c>
      <c r="I65" s="12" t="inlineStr">
        <is>
          <t>Search links only</t>
        </is>
      </c>
      <c r="J65" s="14" t="inlineStr">
        <is>
          <t>eBay</t>
        </is>
      </c>
      <c r="K65" s="14" t="inlineStr">
        <is>
          <t>Amazon</t>
        </is>
      </c>
      <c r="L65" s="14" t="inlineStr">
        <is>
          <t>AliExpress</t>
        </is>
      </c>
      <c r="M65" s="15" t="n"/>
      <c r="N65" s="15">
        <f>IF(OR(D65="",M65=""),"",D65*M65)</f>
        <v/>
      </c>
      <c r="O65" s="16" t="inlineStr">
        <is>
          <t>OK</t>
        </is>
      </c>
      <c r="P65" s="13" t="inlineStr"/>
    </row>
    <row r="66">
      <c r="A66" s="12" t="inlineStr">
        <is>
          <t>9.02</t>
        </is>
      </c>
      <c r="B66" s="13" t="inlineStr">
        <is>
          <t>Countersunk screw</t>
        </is>
      </c>
      <c r="C66" s="13" t="inlineStr">
        <is>
          <t>M5 x 20</t>
        </is>
      </c>
      <c r="D66" s="17" t="n">
        <v>4</v>
      </c>
      <c r="E66" s="12" t="n">
        <v>12</v>
      </c>
      <c r="F66" s="13" t="inlineStr">
        <is>
          <t>Y left/right – X rail mounting</t>
        </is>
      </c>
      <c r="G66" s="13" t="inlineStr"/>
      <c r="H66" s="12" t="inlineStr">
        <is>
          <t>–</t>
        </is>
      </c>
      <c r="I66" s="12" t="inlineStr">
        <is>
          <t>Search links only</t>
        </is>
      </c>
      <c r="J66" s="14" t="inlineStr">
        <is>
          <t>eBay</t>
        </is>
      </c>
      <c r="K66" s="14" t="inlineStr">
        <is>
          <t>Amazon</t>
        </is>
      </c>
      <c r="L66" s="14" t="inlineStr">
        <is>
          <t>AliExpress</t>
        </is>
      </c>
      <c r="M66" s="15" t="n"/>
      <c r="N66" s="15">
        <f>IF(OR(D66="",M66=""),"",D66*M66)</f>
        <v/>
      </c>
      <c r="O66" s="20" t="inlineStr">
        <is>
          <t>CHANGED</t>
        </is>
      </c>
      <c r="P66" s="13" t="inlineStr">
        <is>
          <t>Old master: qty 12 and its description says 25 mm. Sub-assemblies use 4 at 20 mm.</t>
        </is>
      </c>
    </row>
    <row r="67">
      <c r="A67" s="12" t="inlineStr">
        <is>
          <t>9.03</t>
        </is>
      </c>
      <c r="B67" s="13" t="inlineStr">
        <is>
          <t>Button head screw</t>
        </is>
      </c>
      <c r="C67" s="13" t="inlineStr">
        <is>
          <t>M5 x 12</t>
        </is>
      </c>
      <c r="D67" s="17" t="n">
        <v>16</v>
      </c>
      <c r="E67" s="12" t="n">
        <v>22</v>
      </c>
      <c r="F67" s="13" t="inlineStr">
        <is>
          <t>Frame – corner cubes</t>
        </is>
      </c>
      <c r="G67" s="13" t="inlineStr"/>
      <c r="H67" s="12" t="inlineStr">
        <is>
          <t>–</t>
        </is>
      </c>
      <c r="I67" s="12" t="inlineStr">
        <is>
          <t>Search links only</t>
        </is>
      </c>
      <c r="J67" s="14" t="inlineStr">
        <is>
          <t>eBay</t>
        </is>
      </c>
      <c r="K67" s="14" t="inlineStr">
        <is>
          <t>Amazon</t>
        </is>
      </c>
      <c r="L67" s="14" t="inlineStr">
        <is>
          <t>AliExpress</t>
        </is>
      </c>
      <c r="M67" s="15" t="n"/>
      <c r="N67" s="15">
        <f>IF(OR(D67="",M67=""),"",D67*M67)</f>
        <v/>
      </c>
      <c r="O67" s="20" t="inlineStr">
        <is>
          <t>CHANGED</t>
        </is>
      </c>
      <c r="P67" s="13" t="inlineStr"/>
    </row>
    <row r="68">
      <c r="A68" s="12" t="inlineStr">
        <is>
          <t>9.04</t>
        </is>
      </c>
      <c r="B68" s="13" t="inlineStr">
        <is>
          <t>Button head screw</t>
        </is>
      </c>
      <c r="C68" s="13" t="inlineStr">
        <is>
          <t>M5 x 8</t>
        </is>
      </c>
      <c r="D68" s="17" t="n">
        <v>6</v>
      </c>
      <c r="E68" s="12" t="n"/>
      <c r="F68" s="13" t="inlineStr">
        <is>
          <t>Frame 90-degree corners (4), electronics enclosure (2)</t>
        </is>
      </c>
      <c r="G68" s="13" t="inlineStr"/>
      <c r="H68" s="12" t="inlineStr">
        <is>
          <t>–</t>
        </is>
      </c>
      <c r="I68" s="12" t="inlineStr">
        <is>
          <t>Search links only</t>
        </is>
      </c>
      <c r="J68" s="14" t="inlineStr">
        <is>
          <t>eBay</t>
        </is>
      </c>
      <c r="K68" s="14" t="inlineStr">
        <is>
          <t>Amazon</t>
        </is>
      </c>
      <c r="L68" s="14" t="inlineStr">
        <is>
          <t>AliExpress</t>
        </is>
      </c>
      <c r="M68" s="15" t="n"/>
      <c r="N68" s="15">
        <f>IF(OR(D68="",M68=""),"",D68*M68)</f>
        <v/>
      </c>
      <c r="O68" s="19" t="inlineStr">
        <is>
          <t>NEW</t>
        </is>
      </c>
      <c r="P68" s="13" t="inlineStr">
        <is>
          <t>Old master lumped these into the 12 mm line.</t>
        </is>
      </c>
    </row>
    <row r="69">
      <c r="A69" s="12" t="inlineStr">
        <is>
          <t>9.05</t>
        </is>
      </c>
      <c r="B69" s="13" t="inlineStr">
        <is>
          <t>Socket head screw</t>
        </is>
      </c>
      <c r="C69" s="13" t="inlineStr">
        <is>
          <t>M5 x 8</t>
        </is>
      </c>
      <c r="D69" s="17" t="n">
        <v>8</v>
      </c>
      <c r="E69" s="12" t="n"/>
      <c r="F69" s="13" t="inlineStr">
        <is>
          <t>Frame – rail mount</t>
        </is>
      </c>
      <c r="G69" s="13" t="inlineStr"/>
      <c r="H69" s="12" t="inlineStr">
        <is>
          <t>–</t>
        </is>
      </c>
      <c r="I69" s="12" t="inlineStr">
        <is>
          <t>Search links only</t>
        </is>
      </c>
      <c r="J69" s="14" t="inlineStr">
        <is>
          <t>eBay</t>
        </is>
      </c>
      <c r="K69" s="14" t="inlineStr">
        <is>
          <t>Amazon</t>
        </is>
      </c>
      <c r="L69" s="14" t="inlineStr">
        <is>
          <t>AliExpress</t>
        </is>
      </c>
      <c r="M69" s="15" t="n"/>
      <c r="N69" s="15">
        <f>IF(OR(D69="",M69=""),"",D69*M69)</f>
        <v/>
      </c>
      <c r="O69" s="19" t="inlineStr">
        <is>
          <t>NEW</t>
        </is>
      </c>
      <c r="P69" s="13" t="inlineStr">
        <is>
          <t>Missing from the old master entirely.</t>
        </is>
      </c>
    </row>
    <row r="70">
      <c r="A70" s="12" t="inlineStr">
        <is>
          <t>9.06</t>
        </is>
      </c>
      <c r="B70" s="13" t="inlineStr">
        <is>
          <t>Drop-in T-nut</t>
        </is>
      </c>
      <c r="C70" s="13" t="inlineStr">
        <is>
          <t>M5, 20-series</t>
        </is>
      </c>
      <c r="D70" s="17" t="n">
        <v>34</v>
      </c>
      <c r="E70" s="12" t="n">
        <v>22</v>
      </c>
      <c r="F70" s="13" t="inlineStr">
        <is>
          <t>Motors, idlers, Y left/right, frame rails</t>
        </is>
      </c>
      <c r="G70" s="13" t="inlineStr"/>
      <c r="H70" s="12" t="inlineStr">
        <is>
          <t>–</t>
        </is>
      </c>
      <c r="I70" s="12" t="inlineStr">
        <is>
          <t>Search links only</t>
        </is>
      </c>
      <c r="J70" s="14" t="inlineStr">
        <is>
          <t>eBay</t>
        </is>
      </c>
      <c r="K70" s="14" t="inlineStr">
        <is>
          <t>Amazon</t>
        </is>
      </c>
      <c r="L70" s="14" t="inlineStr">
        <is>
          <t>AliExpress</t>
        </is>
      </c>
      <c r="M70" s="15" t="n"/>
      <c r="N70" s="15">
        <f>IF(OR(D70="",M70=""),"",D70*M70)</f>
        <v/>
      </c>
      <c r="O70" s="20" t="inlineStr">
        <is>
          <t>CHANGED</t>
        </is>
      </c>
      <c r="P70" s="13" t="inlineStr">
        <is>
          <t>Old master left out the 12 frame rail-mount nuts. Those 12 pair with only 8 M5 socket screws, so check. No T-nuts are listed for the 16 + 4 corner screws.</t>
        </is>
      </c>
    </row>
    <row r="72">
      <c r="M72" s="22" t="inlineStr">
        <is>
          <t>Priced so far</t>
        </is>
      </c>
      <c r="N72" s="23">
        <f>SUM(N6:N70)</f>
        <v/>
      </c>
    </row>
    <row r="73">
      <c r="M73" s="24" t="inlineStr">
        <is>
          <t>Only items I could price from an opened page are filled in. Add the rest as you order; the total updates.</t>
        </is>
      </c>
    </row>
  </sheetData>
  <mergeCells count="2">
    <mergeCell ref="M73:P73"/>
    <mergeCell ref="A2:P2"/>
  </mergeCells>
  <hyperlinks>
    <hyperlink xmlns:r="http://schemas.openxmlformats.org/officeDocument/2006/relationships" ref="H7" r:id="rId1"/>
    <hyperlink xmlns:r="http://schemas.openxmlformats.org/officeDocument/2006/relationships" ref="J7" r:id="rId2"/>
    <hyperlink xmlns:r="http://schemas.openxmlformats.org/officeDocument/2006/relationships" ref="K7" r:id="rId3"/>
    <hyperlink xmlns:r="http://schemas.openxmlformats.org/officeDocument/2006/relationships" ref="L7" r:id="rId4"/>
    <hyperlink xmlns:r="http://schemas.openxmlformats.org/officeDocument/2006/relationships" ref="H8" r:id="rId5"/>
    <hyperlink xmlns:r="http://schemas.openxmlformats.org/officeDocument/2006/relationships" ref="J8" r:id="rId6"/>
    <hyperlink xmlns:r="http://schemas.openxmlformats.org/officeDocument/2006/relationships" ref="K8" r:id="rId7"/>
    <hyperlink xmlns:r="http://schemas.openxmlformats.org/officeDocument/2006/relationships" ref="L8" r:id="rId8"/>
    <hyperlink xmlns:r="http://schemas.openxmlformats.org/officeDocument/2006/relationships" ref="H9" r:id="rId9"/>
    <hyperlink xmlns:r="http://schemas.openxmlformats.org/officeDocument/2006/relationships" ref="J9" r:id="rId10"/>
    <hyperlink xmlns:r="http://schemas.openxmlformats.org/officeDocument/2006/relationships" ref="K9" r:id="rId11"/>
    <hyperlink xmlns:r="http://schemas.openxmlformats.org/officeDocument/2006/relationships" ref="L9" r:id="rId12"/>
    <hyperlink xmlns:r="http://schemas.openxmlformats.org/officeDocument/2006/relationships" ref="H10" r:id="rId13"/>
    <hyperlink xmlns:r="http://schemas.openxmlformats.org/officeDocument/2006/relationships" ref="J10" r:id="rId14"/>
    <hyperlink xmlns:r="http://schemas.openxmlformats.org/officeDocument/2006/relationships" ref="K10" r:id="rId15"/>
    <hyperlink xmlns:r="http://schemas.openxmlformats.org/officeDocument/2006/relationships" ref="L10" r:id="rId16"/>
    <hyperlink xmlns:r="http://schemas.openxmlformats.org/officeDocument/2006/relationships" ref="H11" r:id="rId17"/>
    <hyperlink xmlns:r="http://schemas.openxmlformats.org/officeDocument/2006/relationships" ref="J11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L12" r:id="rId23"/>
    <hyperlink xmlns:r="http://schemas.openxmlformats.org/officeDocument/2006/relationships" ref="J13" r:id="rId24"/>
    <hyperlink xmlns:r="http://schemas.openxmlformats.org/officeDocument/2006/relationships" ref="K13" r:id="rId25"/>
    <hyperlink xmlns:r="http://schemas.openxmlformats.org/officeDocument/2006/relationships" ref="L13" r:id="rId26"/>
    <hyperlink xmlns:r="http://schemas.openxmlformats.org/officeDocument/2006/relationships" ref="H14" r:id="rId27"/>
    <hyperlink xmlns:r="http://schemas.openxmlformats.org/officeDocument/2006/relationships" ref="J14" r:id="rId28"/>
    <hyperlink xmlns:r="http://schemas.openxmlformats.org/officeDocument/2006/relationships" ref="K14" r:id="rId29"/>
    <hyperlink xmlns:r="http://schemas.openxmlformats.org/officeDocument/2006/relationships" ref="L14" r:id="rId30"/>
    <hyperlink xmlns:r="http://schemas.openxmlformats.org/officeDocument/2006/relationships" ref="J15" r:id="rId31"/>
    <hyperlink xmlns:r="http://schemas.openxmlformats.org/officeDocument/2006/relationships" ref="K15" r:id="rId32"/>
    <hyperlink xmlns:r="http://schemas.openxmlformats.org/officeDocument/2006/relationships" ref="L15" r:id="rId33"/>
    <hyperlink xmlns:r="http://schemas.openxmlformats.org/officeDocument/2006/relationships" ref="J17" r:id="rId34"/>
    <hyperlink xmlns:r="http://schemas.openxmlformats.org/officeDocument/2006/relationships" ref="K17" r:id="rId35"/>
    <hyperlink xmlns:r="http://schemas.openxmlformats.org/officeDocument/2006/relationships" ref="L17" r:id="rId36"/>
    <hyperlink xmlns:r="http://schemas.openxmlformats.org/officeDocument/2006/relationships" ref="J18" r:id="rId37"/>
    <hyperlink xmlns:r="http://schemas.openxmlformats.org/officeDocument/2006/relationships" ref="K18" r:id="rId38"/>
    <hyperlink xmlns:r="http://schemas.openxmlformats.org/officeDocument/2006/relationships" ref="L18" r:id="rId39"/>
    <hyperlink xmlns:r="http://schemas.openxmlformats.org/officeDocument/2006/relationships" ref="J19" r:id="rId40"/>
    <hyperlink xmlns:r="http://schemas.openxmlformats.org/officeDocument/2006/relationships" ref="K19" r:id="rId41"/>
    <hyperlink xmlns:r="http://schemas.openxmlformats.org/officeDocument/2006/relationships" ref="L19" r:id="rId42"/>
    <hyperlink xmlns:r="http://schemas.openxmlformats.org/officeDocument/2006/relationships" ref="H21" r:id="rId43"/>
    <hyperlink xmlns:r="http://schemas.openxmlformats.org/officeDocument/2006/relationships" ref="J21" r:id="rId44"/>
    <hyperlink xmlns:r="http://schemas.openxmlformats.org/officeDocument/2006/relationships" ref="K21" r:id="rId45"/>
    <hyperlink xmlns:r="http://schemas.openxmlformats.org/officeDocument/2006/relationships" ref="L21" r:id="rId46"/>
    <hyperlink xmlns:r="http://schemas.openxmlformats.org/officeDocument/2006/relationships" ref="J22" r:id="rId47"/>
    <hyperlink xmlns:r="http://schemas.openxmlformats.org/officeDocument/2006/relationships" ref="K22" r:id="rId48"/>
    <hyperlink xmlns:r="http://schemas.openxmlformats.org/officeDocument/2006/relationships" ref="L22" r:id="rId49"/>
    <hyperlink xmlns:r="http://schemas.openxmlformats.org/officeDocument/2006/relationships" ref="J23" r:id="rId50"/>
    <hyperlink xmlns:r="http://schemas.openxmlformats.org/officeDocument/2006/relationships" ref="K23" r:id="rId51"/>
    <hyperlink xmlns:r="http://schemas.openxmlformats.org/officeDocument/2006/relationships" ref="L23" r:id="rId52"/>
    <hyperlink xmlns:r="http://schemas.openxmlformats.org/officeDocument/2006/relationships" ref="J24" r:id="rId53"/>
    <hyperlink xmlns:r="http://schemas.openxmlformats.org/officeDocument/2006/relationships" ref="K24" r:id="rId54"/>
    <hyperlink xmlns:r="http://schemas.openxmlformats.org/officeDocument/2006/relationships" ref="L24" r:id="rId55"/>
    <hyperlink xmlns:r="http://schemas.openxmlformats.org/officeDocument/2006/relationships" ref="H25" r:id="rId56"/>
    <hyperlink xmlns:r="http://schemas.openxmlformats.org/officeDocument/2006/relationships" ref="J25" r:id="rId57"/>
    <hyperlink xmlns:r="http://schemas.openxmlformats.org/officeDocument/2006/relationships" ref="K25" r:id="rId58"/>
    <hyperlink xmlns:r="http://schemas.openxmlformats.org/officeDocument/2006/relationships" ref="L25" r:id="rId59"/>
    <hyperlink xmlns:r="http://schemas.openxmlformats.org/officeDocument/2006/relationships" ref="H27" r:id="rId60"/>
    <hyperlink xmlns:r="http://schemas.openxmlformats.org/officeDocument/2006/relationships" ref="J27" r:id="rId61"/>
    <hyperlink xmlns:r="http://schemas.openxmlformats.org/officeDocument/2006/relationships" ref="K27" r:id="rId62"/>
    <hyperlink xmlns:r="http://schemas.openxmlformats.org/officeDocument/2006/relationships" ref="L27" r:id="rId63"/>
    <hyperlink xmlns:r="http://schemas.openxmlformats.org/officeDocument/2006/relationships" ref="J32" r:id="rId64"/>
    <hyperlink xmlns:r="http://schemas.openxmlformats.org/officeDocument/2006/relationships" ref="K32" r:id="rId65"/>
    <hyperlink xmlns:r="http://schemas.openxmlformats.org/officeDocument/2006/relationships" ref="L32" r:id="rId66"/>
    <hyperlink xmlns:r="http://schemas.openxmlformats.org/officeDocument/2006/relationships" ref="J33" r:id="rId67"/>
    <hyperlink xmlns:r="http://schemas.openxmlformats.org/officeDocument/2006/relationships" ref="K33" r:id="rId68"/>
    <hyperlink xmlns:r="http://schemas.openxmlformats.org/officeDocument/2006/relationships" ref="L33" r:id="rId69"/>
    <hyperlink xmlns:r="http://schemas.openxmlformats.org/officeDocument/2006/relationships" ref="J34" r:id="rId70"/>
    <hyperlink xmlns:r="http://schemas.openxmlformats.org/officeDocument/2006/relationships" ref="K34" r:id="rId71"/>
    <hyperlink xmlns:r="http://schemas.openxmlformats.org/officeDocument/2006/relationships" ref="L34" r:id="rId72"/>
    <hyperlink xmlns:r="http://schemas.openxmlformats.org/officeDocument/2006/relationships" ref="J35" r:id="rId73"/>
    <hyperlink xmlns:r="http://schemas.openxmlformats.org/officeDocument/2006/relationships" ref="K35" r:id="rId74"/>
    <hyperlink xmlns:r="http://schemas.openxmlformats.org/officeDocument/2006/relationships" ref="L35" r:id="rId75"/>
    <hyperlink xmlns:r="http://schemas.openxmlformats.org/officeDocument/2006/relationships" ref="J36" r:id="rId76"/>
    <hyperlink xmlns:r="http://schemas.openxmlformats.org/officeDocument/2006/relationships" ref="K36" r:id="rId77"/>
    <hyperlink xmlns:r="http://schemas.openxmlformats.org/officeDocument/2006/relationships" ref="L36" r:id="rId78"/>
    <hyperlink xmlns:r="http://schemas.openxmlformats.org/officeDocument/2006/relationships" ref="J37" r:id="rId79"/>
    <hyperlink xmlns:r="http://schemas.openxmlformats.org/officeDocument/2006/relationships" ref="K37" r:id="rId80"/>
    <hyperlink xmlns:r="http://schemas.openxmlformats.org/officeDocument/2006/relationships" ref="L37" r:id="rId81"/>
    <hyperlink xmlns:r="http://schemas.openxmlformats.org/officeDocument/2006/relationships" ref="J38" r:id="rId82"/>
    <hyperlink xmlns:r="http://schemas.openxmlformats.org/officeDocument/2006/relationships" ref="K38" r:id="rId83"/>
    <hyperlink xmlns:r="http://schemas.openxmlformats.org/officeDocument/2006/relationships" ref="L38" r:id="rId84"/>
    <hyperlink xmlns:r="http://schemas.openxmlformats.org/officeDocument/2006/relationships" ref="H40" r:id="rId85"/>
    <hyperlink xmlns:r="http://schemas.openxmlformats.org/officeDocument/2006/relationships" ref="J40" r:id="rId86"/>
    <hyperlink xmlns:r="http://schemas.openxmlformats.org/officeDocument/2006/relationships" ref="K40" r:id="rId87"/>
    <hyperlink xmlns:r="http://schemas.openxmlformats.org/officeDocument/2006/relationships" ref="L40" r:id="rId88"/>
    <hyperlink xmlns:r="http://schemas.openxmlformats.org/officeDocument/2006/relationships" ref="J41" r:id="rId89"/>
    <hyperlink xmlns:r="http://schemas.openxmlformats.org/officeDocument/2006/relationships" ref="K41" r:id="rId90"/>
    <hyperlink xmlns:r="http://schemas.openxmlformats.org/officeDocument/2006/relationships" ref="L41" r:id="rId91"/>
    <hyperlink xmlns:r="http://schemas.openxmlformats.org/officeDocument/2006/relationships" ref="J42" r:id="rId92"/>
    <hyperlink xmlns:r="http://schemas.openxmlformats.org/officeDocument/2006/relationships" ref="K42" r:id="rId93"/>
    <hyperlink xmlns:r="http://schemas.openxmlformats.org/officeDocument/2006/relationships" ref="L42" r:id="rId94"/>
    <hyperlink xmlns:r="http://schemas.openxmlformats.org/officeDocument/2006/relationships" ref="J44" r:id="rId95"/>
    <hyperlink xmlns:r="http://schemas.openxmlformats.org/officeDocument/2006/relationships" ref="K44" r:id="rId96"/>
    <hyperlink xmlns:r="http://schemas.openxmlformats.org/officeDocument/2006/relationships" ref="L44" r:id="rId97"/>
    <hyperlink xmlns:r="http://schemas.openxmlformats.org/officeDocument/2006/relationships" ref="J45" r:id="rId98"/>
    <hyperlink xmlns:r="http://schemas.openxmlformats.org/officeDocument/2006/relationships" ref="K45" r:id="rId99"/>
    <hyperlink xmlns:r="http://schemas.openxmlformats.org/officeDocument/2006/relationships" ref="L45" r:id="rId100"/>
    <hyperlink xmlns:r="http://schemas.openxmlformats.org/officeDocument/2006/relationships" ref="J46" r:id="rId101"/>
    <hyperlink xmlns:r="http://schemas.openxmlformats.org/officeDocument/2006/relationships" ref="K46" r:id="rId102"/>
    <hyperlink xmlns:r="http://schemas.openxmlformats.org/officeDocument/2006/relationships" ref="L46" r:id="rId103"/>
    <hyperlink xmlns:r="http://schemas.openxmlformats.org/officeDocument/2006/relationships" ref="J48" r:id="rId104"/>
    <hyperlink xmlns:r="http://schemas.openxmlformats.org/officeDocument/2006/relationships" ref="K48" r:id="rId105"/>
    <hyperlink xmlns:r="http://schemas.openxmlformats.org/officeDocument/2006/relationships" ref="L48" r:id="rId106"/>
    <hyperlink xmlns:r="http://schemas.openxmlformats.org/officeDocument/2006/relationships" ref="J49" r:id="rId107"/>
    <hyperlink xmlns:r="http://schemas.openxmlformats.org/officeDocument/2006/relationships" ref="K49" r:id="rId108"/>
    <hyperlink xmlns:r="http://schemas.openxmlformats.org/officeDocument/2006/relationships" ref="L49" r:id="rId109"/>
    <hyperlink xmlns:r="http://schemas.openxmlformats.org/officeDocument/2006/relationships" ref="J50" r:id="rId110"/>
    <hyperlink xmlns:r="http://schemas.openxmlformats.org/officeDocument/2006/relationships" ref="K50" r:id="rId111"/>
    <hyperlink xmlns:r="http://schemas.openxmlformats.org/officeDocument/2006/relationships" ref="L50" r:id="rId112"/>
    <hyperlink xmlns:r="http://schemas.openxmlformats.org/officeDocument/2006/relationships" ref="J51" r:id="rId113"/>
    <hyperlink xmlns:r="http://schemas.openxmlformats.org/officeDocument/2006/relationships" ref="K51" r:id="rId114"/>
    <hyperlink xmlns:r="http://schemas.openxmlformats.org/officeDocument/2006/relationships" ref="L51" r:id="rId115"/>
    <hyperlink xmlns:r="http://schemas.openxmlformats.org/officeDocument/2006/relationships" ref="J52" r:id="rId116"/>
    <hyperlink xmlns:r="http://schemas.openxmlformats.org/officeDocument/2006/relationships" ref="K52" r:id="rId117"/>
    <hyperlink xmlns:r="http://schemas.openxmlformats.org/officeDocument/2006/relationships" ref="L52" r:id="rId118"/>
    <hyperlink xmlns:r="http://schemas.openxmlformats.org/officeDocument/2006/relationships" ref="J53" r:id="rId119"/>
    <hyperlink xmlns:r="http://schemas.openxmlformats.org/officeDocument/2006/relationships" ref="K53" r:id="rId120"/>
    <hyperlink xmlns:r="http://schemas.openxmlformats.org/officeDocument/2006/relationships" ref="L53" r:id="rId121"/>
    <hyperlink xmlns:r="http://schemas.openxmlformats.org/officeDocument/2006/relationships" ref="J54" r:id="rId122"/>
    <hyperlink xmlns:r="http://schemas.openxmlformats.org/officeDocument/2006/relationships" ref="K54" r:id="rId123"/>
    <hyperlink xmlns:r="http://schemas.openxmlformats.org/officeDocument/2006/relationships" ref="L54" r:id="rId124"/>
    <hyperlink xmlns:r="http://schemas.openxmlformats.org/officeDocument/2006/relationships" ref="J55" r:id="rId125"/>
    <hyperlink xmlns:r="http://schemas.openxmlformats.org/officeDocument/2006/relationships" ref="K55" r:id="rId126"/>
    <hyperlink xmlns:r="http://schemas.openxmlformats.org/officeDocument/2006/relationships" ref="L55" r:id="rId127"/>
    <hyperlink xmlns:r="http://schemas.openxmlformats.org/officeDocument/2006/relationships" ref="J56" r:id="rId128"/>
    <hyperlink xmlns:r="http://schemas.openxmlformats.org/officeDocument/2006/relationships" ref="K56" r:id="rId129"/>
    <hyperlink xmlns:r="http://schemas.openxmlformats.org/officeDocument/2006/relationships" ref="L56" r:id="rId130"/>
    <hyperlink xmlns:r="http://schemas.openxmlformats.org/officeDocument/2006/relationships" ref="J57" r:id="rId131"/>
    <hyperlink xmlns:r="http://schemas.openxmlformats.org/officeDocument/2006/relationships" ref="K57" r:id="rId132"/>
    <hyperlink xmlns:r="http://schemas.openxmlformats.org/officeDocument/2006/relationships" ref="L57" r:id="rId133"/>
    <hyperlink xmlns:r="http://schemas.openxmlformats.org/officeDocument/2006/relationships" ref="J58" r:id="rId134"/>
    <hyperlink xmlns:r="http://schemas.openxmlformats.org/officeDocument/2006/relationships" ref="K58" r:id="rId135"/>
    <hyperlink xmlns:r="http://schemas.openxmlformats.org/officeDocument/2006/relationships" ref="L58" r:id="rId136"/>
    <hyperlink xmlns:r="http://schemas.openxmlformats.org/officeDocument/2006/relationships" ref="J59" r:id="rId137"/>
    <hyperlink xmlns:r="http://schemas.openxmlformats.org/officeDocument/2006/relationships" ref="K59" r:id="rId138"/>
    <hyperlink xmlns:r="http://schemas.openxmlformats.org/officeDocument/2006/relationships" ref="L59" r:id="rId139"/>
    <hyperlink xmlns:r="http://schemas.openxmlformats.org/officeDocument/2006/relationships" ref="J60" r:id="rId140"/>
    <hyperlink xmlns:r="http://schemas.openxmlformats.org/officeDocument/2006/relationships" ref="K60" r:id="rId141"/>
    <hyperlink xmlns:r="http://schemas.openxmlformats.org/officeDocument/2006/relationships" ref="L60" r:id="rId142"/>
    <hyperlink xmlns:r="http://schemas.openxmlformats.org/officeDocument/2006/relationships" ref="J61" r:id="rId143"/>
    <hyperlink xmlns:r="http://schemas.openxmlformats.org/officeDocument/2006/relationships" ref="K61" r:id="rId144"/>
    <hyperlink xmlns:r="http://schemas.openxmlformats.org/officeDocument/2006/relationships" ref="L61" r:id="rId145"/>
    <hyperlink xmlns:r="http://schemas.openxmlformats.org/officeDocument/2006/relationships" ref="J62" r:id="rId146"/>
    <hyperlink xmlns:r="http://schemas.openxmlformats.org/officeDocument/2006/relationships" ref="K62" r:id="rId147"/>
    <hyperlink xmlns:r="http://schemas.openxmlformats.org/officeDocument/2006/relationships" ref="L62" r:id="rId148"/>
    <hyperlink xmlns:r="http://schemas.openxmlformats.org/officeDocument/2006/relationships" ref="H63" r:id="rId149"/>
    <hyperlink xmlns:r="http://schemas.openxmlformats.org/officeDocument/2006/relationships" ref="J63" r:id="rId150"/>
    <hyperlink xmlns:r="http://schemas.openxmlformats.org/officeDocument/2006/relationships" ref="K63" r:id="rId151"/>
    <hyperlink xmlns:r="http://schemas.openxmlformats.org/officeDocument/2006/relationships" ref="L63" r:id="rId152"/>
    <hyperlink xmlns:r="http://schemas.openxmlformats.org/officeDocument/2006/relationships" ref="J65" r:id="rId153"/>
    <hyperlink xmlns:r="http://schemas.openxmlformats.org/officeDocument/2006/relationships" ref="K65" r:id="rId154"/>
    <hyperlink xmlns:r="http://schemas.openxmlformats.org/officeDocument/2006/relationships" ref="L65" r:id="rId155"/>
    <hyperlink xmlns:r="http://schemas.openxmlformats.org/officeDocument/2006/relationships" ref="J66" r:id="rId156"/>
    <hyperlink xmlns:r="http://schemas.openxmlformats.org/officeDocument/2006/relationships" ref="K66" r:id="rId157"/>
    <hyperlink xmlns:r="http://schemas.openxmlformats.org/officeDocument/2006/relationships" ref="L66" r:id="rId158"/>
    <hyperlink xmlns:r="http://schemas.openxmlformats.org/officeDocument/2006/relationships" ref="J67" r:id="rId159"/>
    <hyperlink xmlns:r="http://schemas.openxmlformats.org/officeDocument/2006/relationships" ref="K67" r:id="rId160"/>
    <hyperlink xmlns:r="http://schemas.openxmlformats.org/officeDocument/2006/relationships" ref="L67" r:id="rId161"/>
    <hyperlink xmlns:r="http://schemas.openxmlformats.org/officeDocument/2006/relationships" ref="J68" r:id="rId162"/>
    <hyperlink xmlns:r="http://schemas.openxmlformats.org/officeDocument/2006/relationships" ref="K68" r:id="rId163"/>
    <hyperlink xmlns:r="http://schemas.openxmlformats.org/officeDocument/2006/relationships" ref="L68" r:id="rId164"/>
    <hyperlink xmlns:r="http://schemas.openxmlformats.org/officeDocument/2006/relationships" ref="J69" r:id="rId165"/>
    <hyperlink xmlns:r="http://schemas.openxmlformats.org/officeDocument/2006/relationships" ref="K69" r:id="rId166"/>
    <hyperlink xmlns:r="http://schemas.openxmlformats.org/officeDocument/2006/relationships" ref="L69" r:id="rId167"/>
    <hyperlink xmlns:r="http://schemas.openxmlformats.org/officeDocument/2006/relationships" ref="J70" r:id="rId168"/>
    <hyperlink xmlns:r="http://schemas.openxmlformats.org/officeDocument/2006/relationships" ref="K70" r:id="rId169"/>
    <hyperlink xmlns:r="http://schemas.openxmlformats.org/officeDocument/2006/relationships" ref="L70" r:id="rId17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34" customWidth="1" min="4" max="4"/>
    <col width="44" customWidth="1" min="5" max="5"/>
    <col width="34" customWidth="1" min="6" max="6"/>
    <col width="50" customWidth="1" min="7" max="7"/>
  </cols>
  <sheetData>
    <row r="1">
      <c r="A1" s="1" t="inlineStr">
        <is>
          <t>What was wrong with the old BOM</t>
        </is>
      </c>
    </row>
    <row r="2">
      <c r="A2" s="24" t="inlineStr">
        <is>
          <t>Old master = the left-hand list (columns A-D). Sub-assemblies = the per-section blocks to its right. Numbers below come from adding the sub-assembly blocks up.</t>
        </is>
      </c>
    </row>
    <row r="4">
      <c r="A4" s="25" t="inlineStr">
        <is>
          <t>#</t>
        </is>
      </c>
      <c r="B4" s="25" t="inlineStr">
        <is>
          <t>Priority</t>
        </is>
      </c>
      <c r="C4" s="25" t="inlineStr">
        <is>
          <t>Item</t>
        </is>
      </c>
      <c r="D4" s="25" t="inlineStr">
        <is>
          <t>Old master says</t>
        </is>
      </c>
      <c r="E4" s="25" t="inlineStr">
        <is>
          <t>Sub-assemblies / CAD say</t>
        </is>
      </c>
      <c r="F4" s="25" t="inlineStr">
        <is>
          <t>What v2 does</t>
        </is>
      </c>
      <c r="G4" s="25" t="inlineStr">
        <is>
          <t>Your decision?</t>
        </is>
      </c>
    </row>
    <row r="5">
      <c r="A5" s="26" t="n">
        <v>1</v>
      </c>
      <c r="B5" s="27" t="inlineStr">
        <is>
          <t>High</t>
        </is>
      </c>
      <c r="C5" s="26" t="inlineStr">
        <is>
          <t>M5 T-nuts</t>
        </is>
      </c>
      <c r="D5" s="26" t="inlineStr">
        <is>
          <t>22</t>
        </is>
      </c>
      <c r="E5" s="26" t="inlineStr">
        <is>
          <t>34 (22 in the sub-assemblies + 12 'rail mount' in Frame)</t>
        </is>
      </c>
      <c r="F5" s="26" t="inlineStr">
        <is>
          <t>Uses 34</t>
        </is>
      </c>
      <c r="G5" s="26" t="inlineStr">
        <is>
          <t>Frame has 12 T-nuts but only 8 M5 socket screws for the rail mount. Which is right?</t>
        </is>
      </c>
    </row>
    <row r="6">
      <c r="A6" s="26" t="n">
        <v>2</v>
      </c>
      <c r="B6" s="27" t="inlineStr">
        <is>
          <t>High</t>
        </is>
      </c>
      <c r="C6" s="26" t="inlineStr">
        <is>
          <t>M3 T-nuts</t>
        </is>
      </c>
      <c r="D6" s="26" t="inlineStr">
        <is>
          <t>36</t>
        </is>
      </c>
      <c r="E6" s="26" t="inlineStr">
        <is>
          <t>16 (4 feet + 12 rail screws)</t>
        </is>
      </c>
      <c r="F6" s="26" t="inlineStr">
        <is>
          <t>Uses 16</t>
        </is>
      </c>
      <c r="G6" s="26" t="inlineStr">
        <is>
          <t>Confirm no other M3 T-nut use exists in the CAD.</t>
        </is>
      </c>
    </row>
    <row r="7">
      <c r="A7" s="26" t="n">
        <v>3</v>
      </c>
      <c r="B7" s="27" t="inlineStr">
        <is>
          <t>High</t>
        </is>
      </c>
      <c r="C7" s="26" t="inlineStr">
        <is>
          <t>M5 socket screw 8 mm</t>
        </is>
      </c>
      <c r="D7" s="26" t="inlineStr">
        <is>
          <t>not listed</t>
        </is>
      </c>
      <c r="E7" s="26" t="inlineStr">
        <is>
          <t>8 (Frame, rail mount)</t>
        </is>
      </c>
      <c r="F7" s="26" t="inlineStr">
        <is>
          <t>Added</t>
        </is>
      </c>
      <c r="G7" s="26" t="inlineStr">
        <is>
          <t>–</t>
        </is>
      </c>
    </row>
    <row r="8">
      <c r="A8" s="26" t="n">
        <v>4</v>
      </c>
      <c r="B8" s="27" t="inlineStr">
        <is>
          <t>High</t>
        </is>
      </c>
      <c r="C8" s="26" t="inlineStr">
        <is>
          <t>M3 countersunk screws</t>
        </is>
      </c>
      <c r="D8" s="26" t="inlineStr">
        <is>
          <t>5 mm x10, 6 mm x31, 8 mm x4</t>
        </is>
      </c>
      <c r="E8" s="26" t="inlineStr">
        <is>
          <t>5 mm x11, 6 mm x21, 8 mm x2, plus 12 mm x4, 20 mm x2, 30 mm x4</t>
        </is>
      </c>
      <c r="F8" s="26" t="inlineStr">
        <is>
          <t>Uses sub-assembly figures; added 12/20/30 mm</t>
        </is>
      </c>
      <c r="G8" s="26" t="inlineStr">
        <is>
          <t>Old master also had M3 button 20 mm x2 with no use; I assumed that is the 20 mm countersunk. OK?</t>
        </is>
      </c>
    </row>
    <row r="9">
      <c r="A9" s="26" t="n">
        <v>5</v>
      </c>
      <c r="B9" s="27" t="inlineStr">
        <is>
          <t>High</t>
        </is>
      </c>
      <c r="C9" s="26" t="inlineStr">
        <is>
          <t>M5 countersunk 20 mm</t>
        </is>
      </c>
      <c r="D9" s="26" t="inlineStr">
        <is>
          <t>x12, described as 25 mm</t>
        </is>
      </c>
      <c r="E9" s="26" t="inlineStr">
        <is>
          <t>x4 at 20 mm</t>
        </is>
      </c>
      <c r="F9" s="26" t="inlineStr">
        <is>
          <t>Uses 4 at 20 mm</t>
        </is>
      </c>
      <c r="G9" s="26" t="inlineStr">
        <is>
          <t>Confirm length (20 or 25).</t>
        </is>
      </c>
    </row>
    <row r="10">
      <c r="A10" s="26" t="n">
        <v>6</v>
      </c>
      <c r="B10" s="27" t="inlineStr">
        <is>
          <t>High</t>
        </is>
      </c>
      <c r="C10" s="26" t="inlineStr">
        <is>
          <t>M5 button screws</t>
        </is>
      </c>
      <c r="D10" s="26" t="inlineStr">
        <is>
          <t>22 at 12 mm</t>
        </is>
      </c>
      <c r="E10" s="26" t="inlineStr">
        <is>
          <t>16 at 12 mm + 6 at 8 mm</t>
        </is>
      </c>
      <c r="F10" s="26" t="inlineStr">
        <is>
          <t>Split into two lines</t>
        </is>
      </c>
      <c r="G10" s="26" t="inlineStr">
        <is>
          <t>–</t>
        </is>
      </c>
    </row>
    <row r="11">
      <c r="A11" s="26" t="n">
        <v>7</v>
      </c>
      <c r="B11" s="27" t="inlineStr">
        <is>
          <t>High</t>
        </is>
      </c>
      <c r="C11" s="26" t="inlineStr">
        <is>
          <t>Pulley split</t>
        </is>
      </c>
      <c r="D11" s="26" t="inlineStr">
        <is>
          <t>2 drive, 4 smooth, 8 toothed</t>
        </is>
      </c>
      <c r="E11" s="26" t="inlineStr">
        <is>
          <t>2 drive, 6 smooth, 6 toothed (14 total both ways)</t>
        </is>
      </c>
      <c r="F11" s="26" t="inlineStr">
        <is>
          <t>Uses 6 / 6</t>
        </is>
      </c>
      <c r="G11" s="26" t="inlineStr">
        <is>
          <t>Confirm in CAD.</t>
        </is>
      </c>
    </row>
    <row r="12">
      <c r="A12" s="26" t="n">
        <v>8</v>
      </c>
      <c r="B12" s="27" t="inlineStr">
        <is>
          <t>High</t>
        </is>
      </c>
      <c r="C12" s="26" t="inlineStr">
        <is>
          <t>Optical endstops</t>
        </is>
      </c>
      <c r="D12" s="26" t="inlineStr">
        <is>
          <t>not listed</t>
        </is>
      </c>
      <c r="E12" s="26" t="inlineStr">
        <is>
          <t>CAD has an optical endstop mount; STLs for X and Y endstop mounts</t>
        </is>
      </c>
      <c r="F12" s="26" t="inlineStr">
        <is>
          <t>Added x2, type unknown</t>
        </is>
      </c>
      <c r="G12" s="26" t="inlineStr">
        <is>
          <t>Which sensor and how many?</t>
        </is>
      </c>
    </row>
    <row r="13">
      <c r="A13" s="26" t="n">
        <v>9</v>
      </c>
      <c r="B13" s="27" t="inlineStr">
        <is>
          <t>High</t>
        </is>
      </c>
      <c r="C13" s="26" t="inlineStr">
        <is>
          <t>Motor cables</t>
        </is>
      </c>
      <c r="D13" s="26" t="inlineStr">
        <is>
          <t>solenoid cable only</t>
        </is>
      </c>
      <c r="E13" s="26" t="inlineStr">
        <is>
          <t>X (750 mm) and Y (500 mm) cables also in Electronics block</t>
        </is>
      </c>
      <c r="F13" s="26" t="inlineStr">
        <is>
          <t>Added both</t>
        </is>
      </c>
      <c r="G13" s="26" t="inlineStr">
        <is>
          <t>JST PH 2.0 can't take 16 AWG – what wire and connector do you actually use?</t>
        </is>
      </c>
    </row>
    <row r="14">
      <c r="A14" s="26" t="n">
        <v>10</v>
      </c>
      <c r="B14" s="27" t="inlineStr">
        <is>
          <t>High</t>
        </is>
      </c>
      <c r="C14" s="26" t="inlineStr">
        <is>
          <t>Metal bed</t>
        </is>
      </c>
      <c r="D14" s="26" t="inlineStr">
        <is>
          <t>not listed</t>
        </is>
      </c>
      <c r="E14" s="26" t="inlineStr">
        <is>
          <t>'metal bed' folder has a DXF and Dibond artwork</t>
        </is>
      </c>
      <c r="F14" s="26" t="inlineStr">
        <is>
          <t>Added as a placeholder line</t>
        </is>
      </c>
      <c r="G14" s="26" t="inlineStr">
        <is>
          <t>Is the bed part of the standard build? Size and thickness?</t>
        </is>
      </c>
    </row>
    <row r="15">
      <c r="A15" s="26" t="n">
        <v>11</v>
      </c>
      <c r="B15" s="28" t="inlineStr">
        <is>
          <t>Medium</t>
        </is>
      </c>
      <c r="C15" s="26" t="inlineStr">
        <is>
          <t>12 V 2 A supply</t>
        </is>
      </c>
      <c r="D15" s="26" t="inlineStr">
        <is>
          <t>2 A</t>
        </is>
      </c>
      <c r="E15" s="26" t="inlineStr">
        <is>
          <t>–</t>
        </is>
      </c>
      <c r="F15" s="26" t="inlineStr">
        <is>
          <t>Flagged</t>
        </is>
      </c>
      <c r="G15" s="26" t="inlineStr">
        <is>
          <t>Likely marginal for 2 x 1.7 A motors + solenoid. Check your measured draw.</t>
        </is>
      </c>
    </row>
    <row r="16">
      <c r="A16" s="26" t="n">
        <v>12</v>
      </c>
      <c r="B16" s="28" t="inlineStr">
        <is>
          <t>Medium</t>
        </is>
      </c>
      <c r="C16" s="26" t="inlineStr">
        <is>
          <t>M2 screws and inserts</t>
        </is>
      </c>
      <c r="D16" s="26" t="inlineStr">
        <is>
          <t>M2 CSK 5 mm; insert m2x3</t>
        </is>
      </c>
      <c r="E16" s="26" t="inlineStr">
        <is>
          <t>M2 CSK 6 mm; insert m2x6</t>
        </is>
      </c>
      <c r="F16" s="26" t="inlineStr">
        <is>
          <t>Used tool-head figures, flagged</t>
        </is>
      </c>
      <c r="G16" s="26" t="inlineStr">
        <is>
          <t>Confirm lengths.</t>
        </is>
      </c>
    </row>
    <row r="17">
      <c r="A17" s="26" t="n">
        <v>13</v>
      </c>
      <c r="B17" s="28" t="inlineStr">
        <is>
          <t>Medium</t>
        </is>
      </c>
      <c r="C17" s="26" t="inlineStr">
        <is>
          <t>M3 thumb screws</t>
        </is>
      </c>
      <c r="D17" s="26" t="inlineStr">
        <is>
          <t>15 mm x1 and 30 mm x1</t>
        </is>
      </c>
      <c r="E17" s="26" t="inlineStr">
        <is>
          <t>24 mm x1</t>
        </is>
      </c>
      <c r="F17" s="26" t="inlineStr">
        <is>
          <t>Used 24 mm, flagged</t>
        </is>
      </c>
      <c r="G17" s="26" t="inlineStr">
        <is>
          <t>Confirm.</t>
        </is>
      </c>
    </row>
    <row r="18">
      <c r="A18" s="26" t="n">
        <v>14</v>
      </c>
      <c r="B18" s="28" t="inlineStr">
        <is>
          <t>Medium</t>
        </is>
      </c>
      <c r="C18" s="26" t="inlineStr">
        <is>
          <t>Nyloc nut, nylon standoffs</t>
        </is>
      </c>
      <c r="D18" s="26" t="inlineStr">
        <is>
          <t>not listed</t>
        </is>
      </c>
      <c r="E18" s="26" t="inlineStr">
        <is>
          <t>M3 nyloc x1; M3 x 20 mm standoff x2</t>
        </is>
      </c>
      <c r="F18" s="26" t="inlineStr">
        <is>
          <t>Added</t>
        </is>
      </c>
      <c r="G18" s="26" t="inlineStr">
        <is>
          <t>–</t>
        </is>
      </c>
    </row>
    <row r="19">
      <c r="A19" s="26" t="n">
        <v>15</v>
      </c>
      <c r="B19" s="28" t="inlineStr">
        <is>
          <t>Medium</t>
        </is>
      </c>
      <c r="C19" s="26" t="inlineStr">
        <is>
          <t>Hex keys</t>
        </is>
      </c>
      <c r="D19" s="26" t="inlineStr">
        <is>
          <t>1.27, 2, 3 mm</t>
        </is>
      </c>
      <c r="E19" s="26" t="inlineStr">
        <is>
          <t>Screws need 1.5, 2, 2.5, 3, 4 mm</t>
        </is>
      </c>
      <c r="F19" s="26" t="inlineStr">
        <is>
          <t>Replaced by one set</t>
        </is>
      </c>
      <c r="G19" s="26" t="inlineStr">
        <is>
          <t>–</t>
        </is>
      </c>
    </row>
    <row r="20">
      <c r="A20" s="26" t="n">
        <v>16</v>
      </c>
      <c r="B20" s="28" t="inlineStr">
        <is>
          <t>Medium</t>
        </is>
      </c>
      <c r="C20" s="26" t="inlineStr">
        <is>
          <t>T-nuts for corner screws</t>
        </is>
      </c>
      <c r="D20" s="26" t="inlineStr">
        <is>
          <t>none</t>
        </is>
      </c>
      <c r="E20" s="26" t="inlineStr">
        <is>
          <t>16 + 4 M5 screws go into cubes/brackets</t>
        </is>
      </c>
      <c r="F20" s="26" t="inlineStr">
        <is>
          <t>Flagged</t>
        </is>
      </c>
      <c r="G20" s="26" t="inlineStr">
        <is>
          <t>Do the corner cubes come with their own T-nuts or nuts?</t>
        </is>
      </c>
    </row>
    <row r="21">
      <c r="A21" s="26" t="n">
        <v>17</v>
      </c>
      <c r="B21" s="28" t="inlineStr">
        <is>
          <t>Medium</t>
        </is>
      </c>
      <c r="C21" s="26" t="inlineStr">
        <is>
          <t>ESP32 controller</t>
        </is>
      </c>
      <c r="D21" s="26" t="inlineStr">
        <is>
          <t>'Emerald Dingo', no source</t>
        </is>
      </c>
      <c r="E21" s="26" t="inlineStr">
        <is>
          <t>CAD: ESP32_Plotter_Controller_revB1</t>
        </is>
      </c>
      <c r="F21" s="26" t="inlineStr">
        <is>
          <t>Flagged, no link</t>
        </is>
      </c>
      <c r="G21" s="26" t="inlineStr">
        <is>
          <t>Add your own board's source/link.</t>
        </is>
      </c>
    </row>
    <row r="22">
      <c r="A22" s="26" t="n">
        <v>18</v>
      </c>
      <c r="B22" s="29" t="inlineStr">
        <is>
          <t>Low</t>
        </is>
      </c>
      <c r="C22" s="26" t="inlineStr">
        <is>
          <t>Baseboard thickness</t>
        </is>
      </c>
      <c r="D22" s="26" t="inlineStr">
        <is>
          <t>12.5 mm</t>
        </is>
      </c>
      <c r="E22" s="26" t="inlineStr">
        <is>
          <t>–</t>
        </is>
      </c>
      <c r="F22" s="26" t="inlineStr">
        <is>
          <t>Flagged</t>
        </is>
      </c>
      <c r="G22" s="26" t="inlineStr">
        <is>
          <t>EKOply is normally 12 mm.</t>
        </is>
      </c>
    </row>
    <row r="23">
      <c r="A23" s="26" t="n">
        <v>19</v>
      </c>
      <c r="B23" s="29" t="inlineStr">
        <is>
          <t>Low</t>
        </is>
      </c>
      <c r="C23" s="26" t="inlineStr">
        <is>
          <t>45 mm uprights</t>
        </is>
      </c>
      <c r="D23" s="26" t="inlineStr">
        <is>
          <t>45 mm</t>
        </is>
      </c>
      <c r="E23" s="26" t="inlineStr">
        <is>
          <t>CAD part named '...Extrusion40'</t>
        </is>
      </c>
      <c r="F23" s="26" t="inlineStr">
        <is>
          <t>Flagged</t>
        </is>
      </c>
      <c r="G23" s="26" t="inlineStr">
        <is>
          <t>Confirm length.</t>
        </is>
      </c>
    </row>
    <row r="24">
      <c r="A24" s="26" t="n">
        <v>20</v>
      </c>
      <c r="B24" s="29" t="inlineStr">
        <is>
          <t>Low</t>
        </is>
      </c>
      <c r="C24" s="26" t="inlineStr">
        <is>
          <t>CAD instance counts</t>
        </is>
      </c>
      <c r="D24" s="26" t="inlineStr">
        <is>
          <t>8 cubes, 2 brackets</t>
        </is>
      </c>
      <c r="E24" s="26" t="inlineStr">
        <is>
          <t>CAD has 16 cube bodies and 6 bracket bodies</t>
        </is>
      </c>
      <c r="F24" s="26" t="inlineStr">
        <is>
          <t>Not changed</t>
        </is>
      </c>
      <c r="G24" s="26" t="inlineStr">
        <is>
          <t>Probably leftovers in the CAD; the screw counts agree with 8 cubes and 2 brackets.</t>
        </is>
      </c>
    </row>
    <row r="25">
      <c r="A25" s="26" t="n">
        <v>21</v>
      </c>
      <c r="B25" s="29" t="inlineStr">
        <is>
          <t>Low</t>
        </is>
      </c>
      <c r="C25" s="26" t="inlineStr">
        <is>
          <t>Printed parts</t>
        </is>
      </c>
      <c r="D25" s="26" t="inlineStr">
        <is>
          <t>none</t>
        </is>
      </c>
      <c r="E25" s="26" t="inlineStr">
        <is>
          <t>Many STLs (see 'Printed parts' sheet)</t>
        </is>
      </c>
      <c r="F25" s="26" t="inlineStr">
        <is>
          <t>Listed on separate sheet</t>
        </is>
      </c>
      <c r="G25" s="26" t="inlineStr">
        <is>
          <t>–</t>
        </is>
      </c>
    </row>
    <row r="26">
      <c r="A26" s="26" t="n">
        <v>22</v>
      </c>
      <c r="B26" s="29" t="inlineStr">
        <is>
          <t>Low</t>
        </is>
      </c>
      <c r="C26" s="26" t="inlineStr">
        <is>
          <t>Typos / stray data</t>
        </is>
      </c>
      <c r="D26" s="26" t="inlineStr">
        <is>
          <t>e.g. pulley rows hold '10', '20', '20' in the Length column; M3 button 20 and 25 described as 6 mm; Y Idler Top and Y Motor Top described as 'X ...'</t>
        </is>
      </c>
      <c r="E26" s="26" t="inlineStr">
        <is>
          <t>–</t>
        </is>
      </c>
      <c r="F26" s="26" t="inlineStr">
        <is>
          <t>Cleaned up</t>
        </is>
      </c>
      <c r="G26" s="26" t="inlineStr">
        <is>
          <t>–</t>
        </is>
      </c>
    </row>
    <row r="28">
      <c r="A28" s="30" t="inlineStr">
        <is>
          <t>Checked and matched</t>
        </is>
      </c>
    </row>
    <row r="29">
      <c r="B29" s="31" t="inlineStr">
        <is>
          <t>Extrusion lengths and counts (760 x4, 560 x4, 710 x1)</t>
        </is>
      </c>
    </row>
    <row r="30">
      <c r="B30" s="31" t="inlineStr">
        <is>
          <t>GT2 belt (2 x 3 m) and drive pulleys (2)</t>
        </is>
      </c>
    </row>
    <row r="31">
      <c r="B31" s="31" t="inlineStr">
        <is>
          <t>Linear rails (MGN9H 540 x2, 710 x1; MGN7H 50 x1)</t>
        </is>
      </c>
    </row>
    <row r="32">
      <c r="B32" s="31" t="inlineStr">
        <is>
          <t>Cable chain (2 m)</t>
        </is>
      </c>
    </row>
    <row r="33">
      <c r="B33" s="31" t="inlineStr">
        <is>
          <t>M3 heat-set inserts (26)</t>
        </is>
      </c>
    </row>
    <row r="34">
      <c r="B34" s="31" t="inlineStr">
        <is>
          <t>M3 socket 8 mm (12), M3 button 6 mm (4) and 25 mm (2), M2 socket (4)</t>
        </is>
      </c>
    </row>
    <row r="35">
      <c r="B35" s="31" t="inlineStr">
        <is>
          <t>M5 countersunk 8 mm (18)</t>
        </is>
      </c>
    </row>
    <row r="36">
      <c r="B36" s="31" t="inlineStr">
        <is>
          <t>Solenoid and cable count</t>
        </is>
      </c>
    </row>
  </sheetData>
  <mergeCells count="9">
    <mergeCell ref="B31:E31"/>
    <mergeCell ref="B35:E35"/>
    <mergeCell ref="B30:E30"/>
    <mergeCell ref="B29:E29"/>
    <mergeCell ref="B33:E33"/>
    <mergeCell ref="A2:G2"/>
    <mergeCell ref="B34:E34"/>
    <mergeCell ref="B36:E36"/>
    <mergeCell ref="B32:E3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6" customWidth="1" min="3" max="3"/>
    <col width="52" customWidth="1" min="4" max="4"/>
    <col width="12" customWidth="1" min="5" max="5"/>
  </cols>
  <sheetData>
    <row r="1">
      <c r="A1" s="1" t="inlineStr">
        <is>
          <t>Printed parts</t>
        </is>
      </c>
    </row>
    <row r="2">
      <c r="A2" s="24" t="inlineStr">
        <is>
          <t>Part codes are from the old BOM. STL matches are suggestions based on file names; confirm before printing. Quantity is 1 where the old BOM gave none.</t>
        </is>
      </c>
    </row>
    <row r="4">
      <c r="A4" s="32" t="inlineStr">
        <is>
          <t>Code</t>
        </is>
      </c>
      <c r="B4" s="32" t="inlineStr">
        <is>
          <t>Part</t>
        </is>
      </c>
      <c r="C4" s="32" t="inlineStr">
        <is>
          <t>Qty</t>
        </is>
      </c>
      <c r="D4" s="32" t="inlineStr">
        <is>
          <t>Suggested STL (in /STLs)</t>
        </is>
      </c>
      <c r="E4" s="32" t="inlineStr">
        <is>
          <t>Match</t>
        </is>
      </c>
    </row>
    <row r="5">
      <c r="A5" s="26" t="inlineStr">
        <is>
          <t>XIT</t>
        </is>
      </c>
      <c r="B5" s="26" t="inlineStr">
        <is>
          <t>X idler top</t>
        </is>
      </c>
      <c r="C5" s="26" t="n">
        <v>1</v>
      </c>
      <c r="D5" s="26" t="inlineStr">
        <is>
          <t>X_Idler_Top.stl (or _clamped)</t>
        </is>
      </c>
      <c r="E5" s="26" t="inlineStr">
        <is>
          <t>Likely</t>
        </is>
      </c>
    </row>
    <row r="6">
      <c r="A6" s="26" t="inlineStr">
        <is>
          <t>XIB</t>
        </is>
      </c>
      <c r="B6" s="26" t="inlineStr">
        <is>
          <t>X idler bottom</t>
        </is>
      </c>
      <c r="C6" s="26" t="n">
        <v>1</v>
      </c>
      <c r="D6" s="26" t="inlineStr">
        <is>
          <t>X_Idler_Bottom.stl (or _clamped)</t>
        </is>
      </c>
      <c r="E6" s="26" t="inlineStr">
        <is>
          <t>Likely</t>
        </is>
      </c>
    </row>
    <row r="7">
      <c r="A7" s="26" t="inlineStr">
        <is>
          <t>YIT</t>
        </is>
      </c>
      <c r="B7" s="26" t="inlineStr">
        <is>
          <t>Y idler top (old BOM says 'X Idler Top')</t>
        </is>
      </c>
      <c r="C7" s="26" t="n">
        <v>1</v>
      </c>
      <c r="D7" s="26" t="inlineStr">
        <is>
          <t>Y_Idler_Top.stl (or _clamped)</t>
        </is>
      </c>
      <c r="E7" s="26" t="inlineStr">
        <is>
          <t>Likely</t>
        </is>
      </c>
    </row>
    <row r="8">
      <c r="A8" s="26" t="inlineStr">
        <is>
          <t>YIB</t>
        </is>
      </c>
      <c r="B8" s="26" t="inlineStr">
        <is>
          <t>Y idler bottom</t>
        </is>
      </c>
      <c r="C8" s="26" t="n">
        <v>1</v>
      </c>
      <c r="D8" s="26" t="inlineStr">
        <is>
          <t>Y_Idler_Bottom.stl (or _clamped)</t>
        </is>
      </c>
      <c r="E8" s="26" t="inlineStr">
        <is>
          <t>Likely</t>
        </is>
      </c>
    </row>
    <row r="9">
      <c r="A9" s="26" t="inlineStr">
        <is>
          <t>XMT</t>
        </is>
      </c>
      <c r="B9" s="26" t="inlineStr">
        <is>
          <t>X motor top</t>
        </is>
      </c>
      <c r="C9" s="26" t="n">
        <v>1</v>
      </c>
      <c r="D9" s="26" t="inlineStr">
        <is>
          <t>X_Motor_Top.stl</t>
        </is>
      </c>
      <c r="E9" s="26" t="inlineStr">
        <is>
          <t>Likely</t>
        </is>
      </c>
    </row>
    <row r="10">
      <c r="A10" s="26" t="inlineStr">
        <is>
          <t>XMB</t>
        </is>
      </c>
      <c r="B10" s="26" t="inlineStr">
        <is>
          <t>X motor bottom</t>
        </is>
      </c>
      <c r="C10" s="26" t="n">
        <v>1</v>
      </c>
      <c r="D10" s="26" t="inlineStr">
        <is>
          <t>X_Motor_Bottom.stl</t>
        </is>
      </c>
      <c r="E10" s="26" t="inlineStr">
        <is>
          <t>Likely</t>
        </is>
      </c>
    </row>
    <row r="11">
      <c r="A11" s="26" t="inlineStr">
        <is>
          <t>YMT</t>
        </is>
      </c>
      <c r="B11" s="26" t="inlineStr">
        <is>
          <t>Y motor top</t>
        </is>
      </c>
      <c r="C11" s="26" t="n">
        <v>1</v>
      </c>
      <c r="D11" s="26" t="inlineStr">
        <is>
          <t>Y_Motor_Top.stl</t>
        </is>
      </c>
      <c r="E11" s="26" t="inlineStr">
        <is>
          <t>Likely</t>
        </is>
      </c>
    </row>
    <row r="12">
      <c r="A12" s="26" t="inlineStr">
        <is>
          <t>YMB</t>
        </is>
      </c>
      <c r="B12" s="26" t="inlineStr">
        <is>
          <t>Y motor bottom</t>
        </is>
      </c>
      <c r="C12" s="26" t="n">
        <v>1</v>
      </c>
      <c r="D12" s="26" t="inlineStr">
        <is>
          <t>Y_Motor_Bottom.stl</t>
        </is>
      </c>
      <c r="E12" s="26" t="inlineStr">
        <is>
          <t>Likely</t>
        </is>
      </c>
    </row>
    <row r="13">
      <c r="A13" s="26" t="inlineStr">
        <is>
          <t>XYT / XYB</t>
        </is>
      </c>
      <c r="B13" s="26" t="inlineStr">
        <is>
          <t>X axis bracket top / bottom, left</t>
        </is>
      </c>
      <c r="C13" s="26" t="n">
        <v>1</v>
      </c>
      <c r="D13" s="26" t="inlineStr">
        <is>
          <t>Xy_Carriage_Top.stl / Xy_Carriage_Bottom.stl</t>
        </is>
      </c>
      <c r="E13" s="26" t="inlineStr">
        <is>
          <t>Guess</t>
        </is>
      </c>
    </row>
    <row r="14">
      <c r="A14" s="26" t="inlineStr">
        <is>
          <t>YXT / YXB</t>
        </is>
      </c>
      <c r="B14" s="26" t="inlineStr">
        <is>
          <t>X axis bracket top / bottom, right</t>
        </is>
      </c>
      <c r="C14" s="26" t="n">
        <v>1</v>
      </c>
      <c r="D14" s="26" t="inlineStr">
        <is>
          <t>Xx_Carriage_Top.stl / Xx_Carraiage_Bottom.stl</t>
        </is>
      </c>
      <c r="E14" s="26" t="inlineStr">
        <is>
          <t>Guess</t>
        </is>
      </c>
    </row>
    <row r="15">
      <c r="A15" s="26" t="inlineStr">
        <is>
          <t>ECB</t>
        </is>
      </c>
      <c r="B15" s="26" t="inlineStr">
        <is>
          <t>Energy chain bracket</t>
        </is>
      </c>
      <c r="C15" s="26" t="n">
        <v>1</v>
      </c>
      <c r="D15" s="26" t="inlineStr">
        <is>
          <t>–</t>
        </is>
      </c>
      <c r="E15" s="26" t="inlineStr">
        <is>
          <t>None found</t>
        </is>
      </c>
    </row>
    <row r="16">
      <c r="A16" s="26" t="inlineStr">
        <is>
          <t>RUM</t>
        </is>
      </c>
      <c r="B16" s="26" t="inlineStr">
        <is>
          <t>Carriage</t>
        </is>
      </c>
      <c r="C16" s="26" t="n">
        <v>1</v>
      </c>
      <c r="D16" s="26" t="inlineStr">
        <is>
          <t>Tool_Carriage.stl</t>
        </is>
      </c>
      <c r="E16" s="26" t="inlineStr">
        <is>
          <t>Guess</t>
        </is>
      </c>
    </row>
    <row r="17">
      <c r="A17" s="26" t="inlineStr">
        <is>
          <t>BCF / BCB</t>
        </is>
      </c>
      <c r="B17" s="26" t="inlineStr">
        <is>
          <t>Belt clamp front / back</t>
        </is>
      </c>
      <c r="C17" s="26" t="n">
        <v>1</v>
      </c>
      <c r="D17" s="26" t="inlineStr">
        <is>
          <t>Belt_Clamp_Plate.stl / Belt_Clamp_Teeth.stl</t>
        </is>
      </c>
      <c r="E17" s="26" t="inlineStr">
        <is>
          <t>Guess</t>
        </is>
      </c>
    </row>
    <row r="18">
      <c r="A18" s="26" t="inlineStr">
        <is>
          <t>T</t>
        </is>
      </c>
      <c r="B18" s="26" t="inlineStr">
        <is>
          <t>Tensioner</t>
        </is>
      </c>
      <c r="C18" s="26" t="n">
        <v>1</v>
      </c>
      <c r="D18" s="26" t="inlineStr">
        <is>
          <t>Tensioner_Housing.stl + 2xTensioner_bit.stl</t>
        </is>
      </c>
      <c r="E18" s="26" t="inlineStr">
        <is>
          <t>Likely</t>
        </is>
      </c>
    </row>
    <row r="19">
      <c r="A19" s="26" t="inlineStr">
        <is>
          <t>–</t>
        </is>
      </c>
      <c r="B19" s="26" t="inlineStr">
        <is>
          <t>Lower energy chain bracket</t>
        </is>
      </c>
      <c r="C19" s="26" t="n">
        <v>1</v>
      </c>
      <c r="D19" s="26" t="inlineStr">
        <is>
          <t>–</t>
        </is>
      </c>
      <c r="E19" s="26" t="inlineStr">
        <is>
          <t>None found</t>
        </is>
      </c>
    </row>
    <row r="20">
      <c r="A20" s="26" t="inlineStr">
        <is>
          <t>SMB</t>
        </is>
      </c>
      <c r="B20" s="26" t="inlineStr">
        <is>
          <t>Solenoid mounting bracket</t>
        </is>
      </c>
      <c r="C20" s="26" t="n">
        <v>1</v>
      </c>
      <c r="D20" s="26" t="inlineStr">
        <is>
          <t>Solenoid_Mounting_Bracket.stl</t>
        </is>
      </c>
      <c r="E20" s="26" t="inlineStr">
        <is>
          <t>Likely</t>
        </is>
      </c>
    </row>
    <row r="21">
      <c r="A21" s="26" t="inlineStr">
        <is>
          <t>MPH</t>
        </is>
      </c>
      <c r="B21" s="26" t="inlineStr">
        <is>
          <t>Minimal pen holder</t>
        </is>
      </c>
      <c r="C21" s="26" t="n">
        <v>1</v>
      </c>
      <c r="D21" s="26" t="inlineStr">
        <is>
          <t>Pen_Holder_Front.stl, Pen_Clip_*.stl</t>
        </is>
      </c>
      <c r="E21" s="26" t="inlineStr">
        <is>
          <t>Guess</t>
        </is>
      </c>
    </row>
    <row r="22">
      <c r="A22" s="26" t="inlineStr">
        <is>
          <t>EE</t>
        </is>
      </c>
      <c r="B22" s="26" t="inlineStr">
        <is>
          <t>Electronics enclosure</t>
        </is>
      </c>
      <c r="C22" s="26" t="n">
        <v>1</v>
      </c>
      <c r="D22" s="26" t="inlineStr">
        <is>
          <t>Electronics Enclosure.stl</t>
        </is>
      </c>
      <c r="E22" s="26" t="inlineStr">
        <is>
          <t>Likely</t>
        </is>
      </c>
    </row>
    <row r="23">
      <c r="A23" s="26" t="inlineStr">
        <is>
          <t>EETP</t>
        </is>
      </c>
      <c r="B23" s="26" t="inlineStr">
        <is>
          <t>Electronics enclosure top plate</t>
        </is>
      </c>
      <c r="C23" s="26" t="n">
        <v>1</v>
      </c>
      <c r="D23" s="26" t="inlineStr">
        <is>
          <t>–</t>
        </is>
      </c>
      <c r="E23" s="26" t="inlineStr">
        <is>
          <t>None found</t>
        </is>
      </c>
    </row>
    <row r="25">
      <c r="A25" s="30" t="inlineStr">
        <is>
          <t>In the STL folder but not in the BOM</t>
        </is>
      </c>
    </row>
    <row r="26">
      <c r="A26" s="31" t="inlineStr">
        <is>
          <t>8xTPU_Bumper.stl / .3mf (8 off, TPU)</t>
        </is>
      </c>
    </row>
    <row r="27">
      <c r="A27" s="31" t="inlineStr">
        <is>
          <t>TPU Bungs/ (pen-size bungs, TPU)</t>
        </is>
      </c>
    </row>
    <row r="28">
      <c r="A28" s="31" t="inlineStr">
        <is>
          <t>Cable Cap for Extrusion.stl</t>
        </is>
      </c>
    </row>
    <row r="29">
      <c r="A29" s="31" t="inlineStr">
        <is>
          <t>Xx_Endstop_Top/Bottom.stl, Y_Endstop_Mount.stl (endstops)</t>
        </is>
      </c>
    </row>
    <row r="30">
      <c r="A30" s="31" t="inlineStr">
        <is>
          <t>Power_Enclosure_Box.stl, Power_Enclosure_Back.stl</t>
        </is>
      </c>
    </row>
    <row r="31">
      <c r="A31" s="31" t="inlineStr">
        <is>
          <t>skinnyClipMount.stl</t>
        </is>
      </c>
    </row>
    <row r="32">
      <c r="A32" s="31" t="inlineStr">
        <is>
          <t>Servo_* and stepper_* files (alternative heads; Stepper_Z_Axis_Experimental is a separate design)</t>
        </is>
      </c>
    </row>
  </sheetData>
  <mergeCells count="8">
    <mergeCell ref="A30:E30"/>
    <mergeCell ref="A29:E29"/>
    <mergeCell ref="A26:E26"/>
    <mergeCell ref="A2:E2"/>
    <mergeCell ref="A28:E28"/>
    <mergeCell ref="A32:E32"/>
    <mergeCell ref="A31:E3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2026-10-06T18:30:31Z</dcterms:created>
  <dcterms:modified xmlns:dcterms="http://purl.org/dc/terms/" xmlns:xsi="http://www.w3.org/2001/XMLSchema-instance" xsi:type="dcterms:W3CDTF">2026-10-06T18:30:57Z</dcterms:modified>
</cp:coreProperties>
</file>